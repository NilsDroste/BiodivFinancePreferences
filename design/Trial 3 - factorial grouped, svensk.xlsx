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e6234ch/Documents/"/>
    </mc:Choice>
  </mc:AlternateContent>
  <xr:revisionPtr revIDLastSave="0" documentId="13_ncr:1_{6FABA2FD-CCC3-A141-9C12-8319EFB9D525}" xr6:coauthVersionLast="47" xr6:coauthVersionMax="47" xr10:uidLastSave="{00000000-0000-0000-0000-000000000000}"/>
  <bookViews>
    <workbookView xWindow="17900" yWindow="760" windowWidth="16660" windowHeight="20380" xr2:uid="{00000000-000D-0000-FFFF-FFFF00000000}"/>
  </bookViews>
  <sheets>
    <sheet name="Design | Choice Tasks" sheetId="1" r:id="rId1"/>
    <sheet name="Source" sheetId="2" r:id="rId2"/>
    <sheet name="Land" sheetId="4" r:id="rId3"/>
    <sheet name="Monitor" sheetId="3" r:id="rId4"/>
    <sheet name="Price" sheetId="5" r:id="rId5"/>
  </sheets>
  <definedNames>
    <definedName name="_xlnm._FilterDatabase" localSheetId="0" hidden="1">'Design | Choice Tasks'!$A$1:$R$1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L5" i="1"/>
  <c r="P4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3" i="1"/>
  <c r="J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3" i="1"/>
  <c r="P2" i="1"/>
  <c r="H2" i="1"/>
  <c r="L3" i="1"/>
  <c r="L4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R2" i="1"/>
  <c r="L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2" i="1"/>
</calcChain>
</file>

<file path=xl/sharedStrings.xml><?xml version="1.0" encoding="utf-8"?>
<sst xmlns="http://schemas.openxmlformats.org/spreadsheetml/2006/main" count="35" uniqueCount="22">
  <si>
    <t>Choice situation</t>
  </si>
  <si>
    <t>Block</t>
  </si>
  <si>
    <t>optiona.source</t>
  </si>
  <si>
    <t>optiona.land</t>
  </si>
  <si>
    <t>optiona.monitor</t>
  </si>
  <si>
    <t>optiona.price</t>
  </si>
  <si>
    <t>optionb.source</t>
  </si>
  <si>
    <t>optionb.land</t>
  </si>
  <si>
    <t>optionb.monitor</t>
  </si>
  <si>
    <t>optionb.price</t>
  </si>
  <si>
    <t>Code</t>
  </si>
  <si>
    <t>Meaning</t>
  </si>
  <si>
    <t>Text</t>
  </si>
  <si>
    <t>Skattebetalning</t>
  </si>
  <si>
    <t>Frivillig donation</t>
  </si>
  <si>
    <t>Marknadscertifiering</t>
  </si>
  <si>
    <t>Obligatorisk kompensation</t>
  </si>
  <si>
    <t>Offentlig mark</t>
  </si>
  <si>
    <t>Industriella företag</t>
  </si>
  <si>
    <t>Småskaliga privata ägare</t>
  </si>
  <si>
    <t>Offentlig förvaltning</t>
  </si>
  <si>
    <t>Privat, oberoende granskning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</si>
</sst>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sz val="12"/>
      <name val="Calibri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2" borderId="10" xfId="0" applyFill="1" applyBorder="1"/>
    <xf numFmtId="0" fontId="0" fillId="2" borderId="17" xfId="0" applyFill="1" applyBorder="1"/>
    <xf numFmtId="0" fontId="1" fillId="2" borderId="14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1" fillId="2" borderId="26" xfId="0" applyFont="1" applyFill="1" applyBorder="1"/>
    <xf numFmtId="0" fontId="1" fillId="2" borderId="16" xfId="0" applyFont="1" applyFill="1" applyBorder="1"/>
    <xf numFmtId="0" fontId="0" fillId="2" borderId="11" xfId="0" applyFill="1" applyBorder="1"/>
    <xf numFmtId="0" fontId="0" fillId="2" borderId="20" xfId="0" applyFill="1" applyBorder="1"/>
    <xf numFmtId="0" fontId="0" fillId="2" borderId="12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13" xfId="0" applyFill="1" applyBorder="1"/>
    <xf numFmtId="0" fontId="0" fillId="2" borderId="25" xfId="0" applyFill="1" applyBorder="1"/>
    <xf numFmtId="1" fontId="0" fillId="3" borderId="19" xfId="0" applyNumberFormat="1" applyFill="1" applyBorder="1"/>
    <xf numFmtId="2" fontId="0" fillId="3" borderId="19" xfId="0" applyNumberFormat="1" applyFill="1" applyBorder="1"/>
    <xf numFmtId="0" fontId="0" fillId="3" borderId="19" xfId="0" applyFill="1" applyBorder="1"/>
    <xf numFmtId="2" fontId="1" fillId="3" borderId="19" xfId="0" applyNumberFormat="1" applyFont="1" applyFill="1" applyBorder="1"/>
    <xf numFmtId="0" fontId="0" fillId="3" borderId="1" xfId="0" applyFill="1" applyBorder="1"/>
    <xf numFmtId="1" fontId="0" fillId="3" borderId="1" xfId="0" applyNumberFormat="1" applyFill="1" applyBorder="1"/>
    <xf numFmtId="2" fontId="0" fillId="3" borderId="1" xfId="0" applyNumberFormat="1" applyFill="1" applyBorder="1"/>
    <xf numFmtId="2" fontId="1" fillId="3" borderId="1" xfId="0" applyNumberFormat="1" applyFont="1" applyFill="1" applyBorder="1"/>
    <xf numFmtId="0" fontId="0" fillId="3" borderId="5" xfId="0" applyFill="1" applyBorder="1"/>
    <xf numFmtId="2" fontId="0" fillId="3" borderId="5" xfId="0" applyNumberFormat="1" applyFill="1" applyBorder="1"/>
    <xf numFmtId="2" fontId="1" fillId="3" borderId="5" xfId="0" applyNumberFormat="1" applyFont="1" applyFill="1" applyBorder="1"/>
    <xf numFmtId="0" fontId="0" fillId="3" borderId="7" xfId="0" applyFill="1" applyBorder="1"/>
    <xf numFmtId="2" fontId="0" fillId="3" borderId="8" xfId="0" applyNumberFormat="1" applyFill="1" applyBorder="1"/>
    <xf numFmtId="0" fontId="0" fillId="3" borderId="8" xfId="0" applyFill="1" applyBorder="1"/>
    <xf numFmtId="2" fontId="1" fillId="3" borderId="8" xfId="0" applyNumberFormat="1" applyFont="1" applyFill="1" applyBorder="1"/>
    <xf numFmtId="0" fontId="0" fillId="3" borderId="2" xfId="0" applyFill="1" applyBorder="1"/>
    <xf numFmtId="0" fontId="0" fillId="3" borderId="4" xfId="0" applyFill="1" applyBorder="1"/>
    <xf numFmtId="0" fontId="1" fillId="2" borderId="18" xfId="0" applyFont="1" applyFill="1" applyBorder="1"/>
    <xf numFmtId="1" fontId="1" fillId="3" borderId="21" xfId="0" applyNumberFormat="1" applyFont="1" applyFill="1" applyBorder="1"/>
    <xf numFmtId="1" fontId="1" fillId="3" borderId="3" xfId="0" applyNumberFormat="1" applyFont="1" applyFill="1" applyBorder="1"/>
    <xf numFmtId="1" fontId="1" fillId="3" borderId="6" xfId="0" applyNumberFormat="1" applyFont="1" applyFill="1" applyBorder="1"/>
    <xf numFmtId="1" fontId="1" fillId="3" borderId="9" xfId="0" applyNumberFormat="1" applyFont="1" applyFill="1" applyBorder="1"/>
    <xf numFmtId="0" fontId="0" fillId="4" borderId="27" xfId="0" applyFill="1" applyBorder="1"/>
    <xf numFmtId="2" fontId="0" fillId="4" borderId="19" xfId="0" applyNumberFormat="1" applyFill="1" applyBorder="1"/>
    <xf numFmtId="0" fontId="0" fillId="4" borderId="19" xfId="0" applyFill="1" applyBorder="1"/>
    <xf numFmtId="2" fontId="1" fillId="4" borderId="19" xfId="0" applyNumberFormat="1" applyFont="1" applyFill="1" applyBorder="1"/>
    <xf numFmtId="1" fontId="1" fillId="4" borderId="21" xfId="0" applyNumberFormat="1" applyFont="1" applyFill="1" applyBorder="1"/>
    <xf numFmtId="0" fontId="0" fillId="4" borderId="2" xfId="0" applyFill="1" applyBorder="1"/>
    <xf numFmtId="2" fontId="0" fillId="4" borderId="1" xfId="0" applyNumberFormat="1" applyFill="1" applyBorder="1"/>
    <xf numFmtId="0" fontId="0" fillId="4" borderId="1" xfId="0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5" xfId="0" applyNumberFormat="1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2" fontId="0" fillId="4" borderId="8" xfId="0" applyNumberFormat="1" applyFill="1" applyBorder="1"/>
    <xf numFmtId="0" fontId="0" fillId="4" borderId="8" xfId="0" applyFill="1" applyBorder="1"/>
    <xf numFmtId="0" fontId="0" fillId="4" borderId="9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"/>
  <sheetViews>
    <sheetView tabSelected="1" workbookViewId="0">
      <selection activeCell="K2" sqref="K2"/>
    </sheetView>
  </sheetViews>
  <sheetFormatPr baseColWidth="10" defaultRowHeight="16" x14ac:dyDescent="0.2"/>
  <cols>
    <col min="3" max="3" width="13.1640625" bestFit="1" customWidth="1"/>
    <col min="4" max="4" width="13.1640625" customWidth="1"/>
    <col min="5" max="5" width="11.33203125" bestFit="1" customWidth="1"/>
    <col min="6" max="6" width="11.33203125" customWidth="1"/>
    <col min="7" max="7" width="14.33203125" bestFit="1" customWidth="1"/>
    <col min="8" max="8" width="14.33203125" customWidth="1"/>
    <col min="9" max="9" width="11.83203125" bestFit="1" customWidth="1"/>
    <col min="10" max="10" width="11.83203125" customWidth="1"/>
    <col min="11" max="11" width="13.1640625" bestFit="1" customWidth="1"/>
    <col min="12" max="12" width="13.1640625" customWidth="1"/>
    <col min="13" max="13" width="11.33203125" bestFit="1" customWidth="1"/>
    <col min="14" max="14" width="11.33203125" customWidth="1"/>
    <col min="15" max="15" width="14.33203125" bestFit="1" customWidth="1"/>
    <col min="16" max="16" width="14.33203125" customWidth="1"/>
    <col min="17" max="17" width="11.83203125" bestFit="1" customWidth="1"/>
    <col min="18" max="18" width="11.83203125" customWidth="1"/>
  </cols>
  <sheetData>
    <row r="1" spans="1:18" ht="17" thickBot="1" x14ac:dyDescent="0.25">
      <c r="A1" s="2" t="s">
        <v>0</v>
      </c>
      <c r="B1" s="2" t="s">
        <v>1</v>
      </c>
      <c r="C1" s="3" t="s">
        <v>2</v>
      </c>
      <c r="D1" s="4" t="s">
        <v>12</v>
      </c>
      <c r="E1" s="5" t="s">
        <v>3</v>
      </c>
      <c r="F1" s="4" t="s">
        <v>12</v>
      </c>
      <c r="G1" s="5" t="s">
        <v>4</v>
      </c>
      <c r="H1" s="4" t="s">
        <v>12</v>
      </c>
      <c r="I1" s="6" t="s">
        <v>5</v>
      </c>
      <c r="J1" s="7" t="s">
        <v>12</v>
      </c>
      <c r="K1" s="5" t="s">
        <v>6</v>
      </c>
      <c r="L1" s="34" t="s">
        <v>12</v>
      </c>
      <c r="M1" s="5" t="s">
        <v>7</v>
      </c>
      <c r="N1" s="4" t="s">
        <v>12</v>
      </c>
      <c r="O1" s="5" t="s">
        <v>8</v>
      </c>
      <c r="P1" s="4" t="s">
        <v>12</v>
      </c>
      <c r="Q1" s="5" t="s">
        <v>9</v>
      </c>
      <c r="R1" s="8" t="s">
        <v>12</v>
      </c>
    </row>
    <row r="2" spans="1:18" x14ac:dyDescent="0.2">
      <c r="A2" s="9">
        <v>1</v>
      </c>
      <c r="B2" s="10">
        <v>1</v>
      </c>
      <c r="C2" s="17">
        <v>2</v>
      </c>
      <c r="D2" s="18" t="str">
        <f>VLOOKUP(C2,Source!$A$1:$B$5,2,FALSE)</f>
        <v>Marknadscertifiering</v>
      </c>
      <c r="E2" s="19">
        <v>0</v>
      </c>
      <c r="F2" s="18" t="str">
        <f>VLOOKUP(E2,Land!$A$1:$B$4,2,FALSE)</f>
        <v>Småskaliga privata ägare</v>
      </c>
      <c r="G2" s="19">
        <v>0</v>
      </c>
      <c r="H2" s="20" t="str">
        <f>VLOOKUP(G2,Monitor!$A$1:$B$3,2,FALSE)</f>
        <v>Privat, oberoende granskning</v>
      </c>
      <c r="I2" s="21">
        <v>0</v>
      </c>
      <c r="J2" s="35">
        <f>VLOOKUP(I2,Price!$A$1:$B$5,2,FALSE)</f>
        <v>492</v>
      </c>
      <c r="K2" s="39">
        <v>1</v>
      </c>
      <c r="L2" s="40" t="str">
        <f>VLOOKUP(K2,Source!$A$1:$B$5,2,FALSE)</f>
        <v>Frivillig donation</v>
      </c>
      <c r="M2" s="41">
        <v>2</v>
      </c>
      <c r="N2" s="40" t="str">
        <f>VLOOKUP(M2,Land!$A$1:$B$4,2,FALSE)</f>
        <v>Offentlig mark</v>
      </c>
      <c r="O2" s="41">
        <v>1</v>
      </c>
      <c r="P2" s="42" t="str">
        <f>VLOOKUP(O2,Monitor!$A$1:$B$3,2,FALSE)</f>
        <v>Offentlig förvaltning</v>
      </c>
      <c r="Q2" s="41">
        <v>3</v>
      </c>
      <c r="R2" s="43">
        <f>VLOOKUP(Q2,Price!$A$1:$B$5,2,FALSE)</f>
        <v>7380</v>
      </c>
    </row>
    <row r="3" spans="1:18" x14ac:dyDescent="0.2">
      <c r="A3" s="9">
        <v>2</v>
      </c>
      <c r="B3" s="9">
        <v>1</v>
      </c>
      <c r="C3" s="22">
        <v>2</v>
      </c>
      <c r="D3" s="23" t="str">
        <f>VLOOKUP(C3,Source!$A$1:$B$5,2,FALSE)</f>
        <v>Marknadscertifiering</v>
      </c>
      <c r="E3" s="21">
        <v>1</v>
      </c>
      <c r="F3" s="23" t="str">
        <f>VLOOKUP(E3,Land!$A$1:$B$4,2,FALSE)</f>
        <v>Industriella företag</v>
      </c>
      <c r="G3" s="21">
        <v>1</v>
      </c>
      <c r="H3" s="24" t="str">
        <f>VLOOKUP(G3,Monitor!$A$1:$B$3,2,FALSE)</f>
        <v>Offentlig förvaltning</v>
      </c>
      <c r="I3" s="21">
        <v>0</v>
      </c>
      <c r="J3" s="36">
        <f>VLOOKUP(I3,Price!$A$1:$B$5,2,FALSE)</f>
        <v>492</v>
      </c>
      <c r="K3" s="44">
        <v>2</v>
      </c>
      <c r="L3" s="45" t="str">
        <f>VLOOKUP(K3,Source!$A$1:$B$5,2,FALSE)</f>
        <v>Marknadscertifiering</v>
      </c>
      <c r="M3" s="46">
        <v>2</v>
      </c>
      <c r="N3" s="45" t="str">
        <f>VLOOKUP(M3,Land!$A$1:$B$4,2,FALSE)</f>
        <v>Offentlig mark</v>
      </c>
      <c r="O3" s="46">
        <v>1</v>
      </c>
      <c r="P3" s="45" t="str">
        <f>VLOOKUP(O3,Monitor!$A$1:$B$3,2,FALSE)</f>
        <v>Offentlig förvaltning</v>
      </c>
      <c r="Q3" s="46">
        <v>2</v>
      </c>
      <c r="R3" s="47">
        <f>VLOOKUP(Q3,Price!$A$1:$B$5,2,FALSE)</f>
        <v>4920</v>
      </c>
    </row>
    <row r="4" spans="1:18" x14ac:dyDescent="0.2">
      <c r="A4" s="9">
        <v>3</v>
      </c>
      <c r="B4" s="9">
        <v>1</v>
      </c>
      <c r="C4" s="21">
        <v>3</v>
      </c>
      <c r="D4" s="23" t="str">
        <f>VLOOKUP(C4,Source!$A$1:$B$5,2,FALSE)</f>
        <v>Obligatorisk kompensation</v>
      </c>
      <c r="E4" s="21">
        <v>1</v>
      </c>
      <c r="F4" s="23" t="str">
        <f>VLOOKUP(E4,Land!$A$1:$B$4,2,FALSE)</f>
        <v>Industriella företag</v>
      </c>
      <c r="G4" s="21">
        <v>1</v>
      </c>
      <c r="H4" s="24" t="str">
        <f>VLOOKUP(G4,Monitor!$A$1:$B$3,2,FALSE)</f>
        <v>Offentlig förvaltning</v>
      </c>
      <c r="I4" s="21">
        <v>2</v>
      </c>
      <c r="J4" s="36">
        <f>VLOOKUP(I4,Price!$A$1:$B$5,2,FALSE)</f>
        <v>4920</v>
      </c>
      <c r="K4" s="44">
        <v>1</v>
      </c>
      <c r="L4" s="45" t="str">
        <f>VLOOKUP(K4,Source!$A$1:$B$5,2,FALSE)</f>
        <v>Frivillig donation</v>
      </c>
      <c r="M4" s="46">
        <v>2</v>
      </c>
      <c r="N4" s="45" t="str">
        <f>VLOOKUP(M4,Land!$A$1:$B$4,2,FALSE)</f>
        <v>Offentlig mark</v>
      </c>
      <c r="O4" s="46">
        <v>0</v>
      </c>
      <c r="P4" s="45" t="str">
        <f>VLOOKUP(O4,Monitor!$A$1:$B$3,2,FALSE)</f>
        <v>Privat, oberoende granskning</v>
      </c>
      <c r="Q4" s="46">
        <v>3</v>
      </c>
      <c r="R4" s="47">
        <f>VLOOKUP(Q4,Price!$A$1:$B$5,2,FALSE)</f>
        <v>7380</v>
      </c>
    </row>
    <row r="5" spans="1:18" x14ac:dyDescent="0.2">
      <c r="A5" s="9">
        <v>4</v>
      </c>
      <c r="B5" s="9">
        <v>1</v>
      </c>
      <c r="C5" s="21">
        <v>1</v>
      </c>
      <c r="D5" s="23" t="str">
        <f>VLOOKUP(C5,Source!$A$1:$B$5,2,FALSE)</f>
        <v>Frivillig donation</v>
      </c>
      <c r="E5" s="21">
        <v>0</v>
      </c>
      <c r="F5" s="23" t="str">
        <f>VLOOKUP(E5,Land!$A$1:$B$4,2,FALSE)</f>
        <v>Småskaliga privata ägare</v>
      </c>
      <c r="G5" s="21">
        <v>0</v>
      </c>
      <c r="H5" s="24" t="str">
        <f>VLOOKUP(G5,Monitor!$A$1:$B$3,2,FALSE)</f>
        <v>Privat, oberoende granskning</v>
      </c>
      <c r="I5" s="21">
        <v>2</v>
      </c>
      <c r="J5" s="36">
        <f>VLOOKUP(I5,Price!$A$1:$B$5,2,FALSE)</f>
        <v>4920</v>
      </c>
      <c r="K5" s="44">
        <v>0</v>
      </c>
      <c r="L5" s="45" t="str">
        <f>VLOOKUP(K5,Source!$A$1:$B$5,2,FALSE)</f>
        <v>Skattebetalning</v>
      </c>
      <c r="M5" s="46">
        <v>0</v>
      </c>
      <c r="N5" s="45" t="str">
        <f>VLOOKUP(M5,Land!$A$1:$B$4,2,FALSE)</f>
        <v>Småskaliga privata ägare</v>
      </c>
      <c r="O5" s="46">
        <v>1</v>
      </c>
      <c r="P5" s="45" t="str">
        <f>VLOOKUP(O5,Monitor!$A$1:$B$3,2,FALSE)</f>
        <v>Offentlig förvaltning</v>
      </c>
      <c r="Q5" s="46">
        <v>1</v>
      </c>
      <c r="R5" s="47">
        <f>VLOOKUP(Q5,Price!$A$1:$B$5,2,FALSE)</f>
        <v>2460</v>
      </c>
    </row>
    <row r="6" spans="1:18" x14ac:dyDescent="0.2">
      <c r="A6" s="9">
        <v>5</v>
      </c>
      <c r="B6" s="9">
        <v>1</v>
      </c>
      <c r="C6" s="21">
        <v>2</v>
      </c>
      <c r="D6" s="23" t="str">
        <f>VLOOKUP(C6,Source!$A$1:$B$5,2,FALSE)</f>
        <v>Marknadscertifiering</v>
      </c>
      <c r="E6" s="21">
        <v>0</v>
      </c>
      <c r="F6" s="23" t="str">
        <f>VLOOKUP(E6,Land!$A$1:$B$4,2,FALSE)</f>
        <v>Småskaliga privata ägare</v>
      </c>
      <c r="G6" s="21">
        <v>0</v>
      </c>
      <c r="H6" s="24" t="str">
        <f>VLOOKUP(G6,Monitor!$A$1:$B$3,2,FALSE)</f>
        <v>Privat, oberoende granskning</v>
      </c>
      <c r="I6" s="21">
        <v>1</v>
      </c>
      <c r="J6" s="36">
        <f>VLOOKUP(I6,Price!$A$1:$B$5,2,FALSE)</f>
        <v>2460</v>
      </c>
      <c r="K6" s="44">
        <v>0</v>
      </c>
      <c r="L6" s="45" t="str">
        <f>VLOOKUP(K6,Source!$A$1:$B$5,2,FALSE)</f>
        <v>Skattebetalning</v>
      </c>
      <c r="M6" s="46">
        <v>2</v>
      </c>
      <c r="N6" s="45" t="str">
        <f>VLOOKUP(M6,Land!$A$1:$B$4,2,FALSE)</f>
        <v>Offentlig mark</v>
      </c>
      <c r="O6" s="46">
        <v>1</v>
      </c>
      <c r="P6" s="45" t="str">
        <f>VLOOKUP(O6,Monitor!$A$1:$B$3,2,FALSE)</f>
        <v>Offentlig förvaltning</v>
      </c>
      <c r="Q6" s="46">
        <v>1</v>
      </c>
      <c r="R6" s="47">
        <f>VLOOKUP(Q6,Price!$A$1:$B$5,2,FALSE)</f>
        <v>2460</v>
      </c>
    </row>
    <row r="7" spans="1:18" x14ac:dyDescent="0.2">
      <c r="A7" s="9">
        <v>6</v>
      </c>
      <c r="B7" s="9">
        <v>1</v>
      </c>
      <c r="C7" s="21">
        <v>1</v>
      </c>
      <c r="D7" s="23" t="str">
        <f>VLOOKUP(C7,Source!$A$1:$B$5,2,FALSE)</f>
        <v>Frivillig donation</v>
      </c>
      <c r="E7" s="21">
        <v>0</v>
      </c>
      <c r="F7" s="23" t="str">
        <f>VLOOKUP(E7,Land!$A$1:$B$4,2,FALSE)</f>
        <v>Småskaliga privata ägare</v>
      </c>
      <c r="G7" s="21">
        <v>1</v>
      </c>
      <c r="H7" s="24" t="str">
        <f>VLOOKUP(G7,Monitor!$A$1:$B$3,2,FALSE)</f>
        <v>Offentlig förvaltning</v>
      </c>
      <c r="I7" s="21">
        <v>1</v>
      </c>
      <c r="J7" s="36">
        <f>VLOOKUP(I7,Price!$A$1:$B$5,2,FALSE)</f>
        <v>2460</v>
      </c>
      <c r="K7" s="44">
        <v>1</v>
      </c>
      <c r="L7" s="45" t="str">
        <f>VLOOKUP(K7,Source!$A$1:$B$5,2,FALSE)</f>
        <v>Frivillig donation</v>
      </c>
      <c r="M7" s="46">
        <v>2</v>
      </c>
      <c r="N7" s="45" t="str">
        <f>VLOOKUP(M7,Land!$A$1:$B$4,2,FALSE)</f>
        <v>Offentlig mark</v>
      </c>
      <c r="O7" s="46">
        <v>0</v>
      </c>
      <c r="P7" s="45" t="str">
        <f>VLOOKUP(O7,Monitor!$A$1:$B$3,2,FALSE)</f>
        <v>Privat, oberoende granskning</v>
      </c>
      <c r="Q7" s="46">
        <v>0</v>
      </c>
      <c r="R7" s="47">
        <f>VLOOKUP(Q7,Price!$A$1:$B$5,2,FALSE)</f>
        <v>492</v>
      </c>
    </row>
    <row r="8" spans="1:18" x14ac:dyDescent="0.2">
      <c r="A8" s="9">
        <v>7</v>
      </c>
      <c r="B8" s="9">
        <v>1</v>
      </c>
      <c r="C8" s="21">
        <v>0</v>
      </c>
      <c r="D8" s="23" t="str">
        <f>VLOOKUP(C8,Source!$A$1:$B$5,2,FALSE)</f>
        <v>Skattebetalning</v>
      </c>
      <c r="E8" s="21">
        <v>0</v>
      </c>
      <c r="F8" s="23" t="str">
        <f>VLOOKUP(E8,Land!$A$1:$B$4,2,FALSE)</f>
        <v>Småskaliga privata ägare</v>
      </c>
      <c r="G8" s="21">
        <v>0</v>
      </c>
      <c r="H8" s="24" t="str">
        <f>VLOOKUP(G8,Monitor!$A$1:$B$3,2,FALSE)</f>
        <v>Privat, oberoende granskning</v>
      </c>
      <c r="I8" s="21">
        <v>1</v>
      </c>
      <c r="J8" s="36">
        <f>VLOOKUP(I8,Price!$A$1:$B$5,2,FALSE)</f>
        <v>2460</v>
      </c>
      <c r="K8" s="44">
        <v>1</v>
      </c>
      <c r="L8" s="45" t="str">
        <f>VLOOKUP(K8,Source!$A$1:$B$5,2,FALSE)</f>
        <v>Frivillig donation</v>
      </c>
      <c r="M8" s="46">
        <v>1</v>
      </c>
      <c r="N8" s="45" t="str">
        <f>VLOOKUP(M8,Land!$A$1:$B$4,2,FALSE)</f>
        <v>Industriella företag</v>
      </c>
      <c r="O8" s="46">
        <v>1</v>
      </c>
      <c r="P8" s="45" t="str">
        <f>VLOOKUP(O8,Monitor!$A$1:$B$3,2,FALSE)</f>
        <v>Offentlig förvaltning</v>
      </c>
      <c r="Q8" s="46">
        <v>3</v>
      </c>
      <c r="R8" s="47">
        <f>VLOOKUP(Q8,Price!$A$1:$B$5,2,FALSE)</f>
        <v>7380</v>
      </c>
    </row>
    <row r="9" spans="1:18" x14ac:dyDescent="0.2">
      <c r="A9" s="9">
        <v>8</v>
      </c>
      <c r="B9" s="11">
        <v>1</v>
      </c>
      <c r="C9" s="25">
        <v>2</v>
      </c>
      <c r="D9" s="26" t="str">
        <f>VLOOKUP(C9,Source!$A$1:$B$5,2,FALSE)</f>
        <v>Marknadscertifiering</v>
      </c>
      <c r="E9" s="25">
        <v>2</v>
      </c>
      <c r="F9" s="26" t="str">
        <f>VLOOKUP(E9,Land!$A$1:$B$4,2,FALSE)</f>
        <v>Offentlig mark</v>
      </c>
      <c r="G9" s="25">
        <v>1</v>
      </c>
      <c r="H9" s="27" t="str">
        <f>VLOOKUP(G9,Monitor!$A$1:$B$3,2,FALSE)</f>
        <v>Offentlig förvaltning</v>
      </c>
      <c r="I9" s="25">
        <v>1</v>
      </c>
      <c r="J9" s="37">
        <f>VLOOKUP(I9,Price!$A$1:$B$5,2,FALSE)</f>
        <v>2460</v>
      </c>
      <c r="K9" s="48">
        <v>2</v>
      </c>
      <c r="L9" s="49" t="str">
        <f>VLOOKUP(K9,Source!$A$1:$B$5,2,FALSE)</f>
        <v>Marknadscertifiering</v>
      </c>
      <c r="M9" s="50">
        <v>0</v>
      </c>
      <c r="N9" s="49" t="str">
        <f>VLOOKUP(M9,Land!$A$1:$B$4,2,FALSE)</f>
        <v>Småskaliga privata ägare</v>
      </c>
      <c r="O9" s="50">
        <v>0</v>
      </c>
      <c r="P9" s="49" t="str">
        <f>VLOOKUP(O9,Monitor!$A$1:$B$3,2,FALSE)</f>
        <v>Privat, oberoende granskning</v>
      </c>
      <c r="Q9" s="50">
        <v>0</v>
      </c>
      <c r="R9" s="51">
        <f>VLOOKUP(Q9,Price!$A$1:$B$5,2,FALSE)</f>
        <v>492</v>
      </c>
    </row>
    <row r="10" spans="1:18" x14ac:dyDescent="0.2">
      <c r="A10" s="9">
        <v>9</v>
      </c>
      <c r="B10" s="12">
        <v>2</v>
      </c>
      <c r="C10" s="28">
        <v>1</v>
      </c>
      <c r="D10" s="29" t="str">
        <f>VLOOKUP(C10,Source!$A$1:$B$5,2,FALSE)</f>
        <v>Frivillig donation</v>
      </c>
      <c r="E10" s="30">
        <v>2</v>
      </c>
      <c r="F10" s="29" t="str">
        <f>VLOOKUP(E10,Land!$A$1:$B$4,2,FALSE)</f>
        <v>Offentlig mark</v>
      </c>
      <c r="G10" s="30">
        <v>1</v>
      </c>
      <c r="H10" s="31" t="str">
        <f>VLOOKUP(G10,Monitor!$A$1:$B$3,2,FALSE)</f>
        <v>Offentlig förvaltning</v>
      </c>
      <c r="I10" s="21">
        <v>2</v>
      </c>
      <c r="J10" s="38">
        <f>VLOOKUP(I10,Price!$A$1:$B$5,2,FALSE)</f>
        <v>4920</v>
      </c>
      <c r="K10" s="52">
        <v>3</v>
      </c>
      <c r="L10" s="53" t="str">
        <f>VLOOKUP(K10,Source!$A$1:$B$5,2,FALSE)</f>
        <v>Obligatorisk kompensation</v>
      </c>
      <c r="M10" s="54">
        <v>0</v>
      </c>
      <c r="N10" s="53" t="str">
        <f>VLOOKUP(M10,Land!$A$1:$B$4,2,FALSE)</f>
        <v>Småskaliga privata ägare</v>
      </c>
      <c r="O10" s="54">
        <v>0</v>
      </c>
      <c r="P10" s="53" t="str">
        <f>VLOOKUP(O10,Monitor!$A$1:$B$3,2,FALSE)</f>
        <v>Privat, oberoende granskning</v>
      </c>
      <c r="Q10" s="54">
        <v>2</v>
      </c>
      <c r="R10" s="55">
        <f>VLOOKUP(Q10,Price!$A$1:$B$5,2,FALSE)</f>
        <v>4920</v>
      </c>
    </row>
    <row r="11" spans="1:18" x14ac:dyDescent="0.2">
      <c r="A11" s="9">
        <v>10</v>
      </c>
      <c r="B11" s="12">
        <v>2</v>
      </c>
      <c r="C11" s="32">
        <v>2</v>
      </c>
      <c r="D11" s="23" t="str">
        <f>VLOOKUP(C11,Source!$A$1:$B$5,2,FALSE)</f>
        <v>Marknadscertifiering</v>
      </c>
      <c r="E11" s="21">
        <v>0</v>
      </c>
      <c r="F11" s="23" t="str">
        <f>VLOOKUP(E11,Land!$A$1:$B$4,2,FALSE)</f>
        <v>Småskaliga privata ägare</v>
      </c>
      <c r="G11" s="21">
        <v>0</v>
      </c>
      <c r="H11" s="24" t="str">
        <f>VLOOKUP(G11,Monitor!$A$1:$B$3,2,FALSE)</f>
        <v>Privat, oberoende granskning</v>
      </c>
      <c r="I11" s="21">
        <v>1</v>
      </c>
      <c r="J11" s="36">
        <f>VLOOKUP(I11,Price!$A$1:$B$5,2,FALSE)</f>
        <v>2460</v>
      </c>
      <c r="K11" s="44">
        <v>0</v>
      </c>
      <c r="L11" s="45" t="str">
        <f>VLOOKUP(K11,Source!$A$1:$B$5,2,FALSE)</f>
        <v>Skattebetalning</v>
      </c>
      <c r="M11" s="46">
        <v>1</v>
      </c>
      <c r="N11" s="45" t="str">
        <f>VLOOKUP(M11,Land!$A$1:$B$4,2,FALSE)</f>
        <v>Industriella företag</v>
      </c>
      <c r="O11" s="46">
        <v>0</v>
      </c>
      <c r="P11" s="45" t="str">
        <f>VLOOKUP(O11,Monitor!$A$1:$B$3,2,FALSE)</f>
        <v>Privat, oberoende granskning</v>
      </c>
      <c r="Q11" s="46">
        <v>0</v>
      </c>
      <c r="R11" s="47">
        <f>VLOOKUP(Q11,Price!$A$1:$B$5,2,FALSE)</f>
        <v>492</v>
      </c>
    </row>
    <row r="12" spans="1:18" x14ac:dyDescent="0.2">
      <c r="A12" s="9">
        <v>11</v>
      </c>
      <c r="B12" s="12">
        <v>2</v>
      </c>
      <c r="C12" s="32">
        <v>0</v>
      </c>
      <c r="D12" s="23" t="str">
        <f>VLOOKUP(C12,Source!$A$1:$B$5,2,FALSE)</f>
        <v>Skattebetalning</v>
      </c>
      <c r="E12" s="21">
        <v>2</v>
      </c>
      <c r="F12" s="23" t="str">
        <f>VLOOKUP(E12,Land!$A$1:$B$4,2,FALSE)</f>
        <v>Offentlig mark</v>
      </c>
      <c r="G12" s="21">
        <v>0</v>
      </c>
      <c r="H12" s="24" t="str">
        <f>VLOOKUP(G12,Monitor!$A$1:$B$3,2,FALSE)</f>
        <v>Privat, oberoende granskning</v>
      </c>
      <c r="I12" s="21">
        <v>0</v>
      </c>
      <c r="J12" s="36">
        <f>VLOOKUP(I12,Price!$A$1:$B$5,2,FALSE)</f>
        <v>492</v>
      </c>
      <c r="K12" s="44">
        <v>3</v>
      </c>
      <c r="L12" s="45" t="str">
        <f>VLOOKUP(K12,Source!$A$1:$B$5,2,FALSE)</f>
        <v>Obligatorisk kompensation</v>
      </c>
      <c r="M12" s="46">
        <v>0</v>
      </c>
      <c r="N12" s="45" t="str">
        <f>VLOOKUP(M12,Land!$A$1:$B$4,2,FALSE)</f>
        <v>Småskaliga privata ägare</v>
      </c>
      <c r="O12" s="46">
        <v>1</v>
      </c>
      <c r="P12" s="45" t="str">
        <f>VLOOKUP(O12,Monitor!$A$1:$B$3,2,FALSE)</f>
        <v>Offentlig förvaltning</v>
      </c>
      <c r="Q12" s="46">
        <v>1</v>
      </c>
      <c r="R12" s="47">
        <f>VLOOKUP(Q12,Price!$A$1:$B$5,2,FALSE)</f>
        <v>2460</v>
      </c>
    </row>
    <row r="13" spans="1:18" x14ac:dyDescent="0.2">
      <c r="A13" s="9">
        <v>12</v>
      </c>
      <c r="B13" s="12">
        <v>2</v>
      </c>
      <c r="C13" s="32">
        <v>0</v>
      </c>
      <c r="D13" s="23" t="str">
        <f>VLOOKUP(C13,Source!$A$1:$B$5,2,FALSE)</f>
        <v>Skattebetalning</v>
      </c>
      <c r="E13" s="21">
        <v>2</v>
      </c>
      <c r="F13" s="23" t="str">
        <f>VLOOKUP(E13,Land!$A$1:$B$4,2,FALSE)</f>
        <v>Offentlig mark</v>
      </c>
      <c r="G13" s="21">
        <v>0</v>
      </c>
      <c r="H13" s="24" t="str">
        <f>VLOOKUP(G13,Monitor!$A$1:$B$3,2,FALSE)</f>
        <v>Privat, oberoende granskning</v>
      </c>
      <c r="I13" s="21">
        <v>0</v>
      </c>
      <c r="J13" s="36">
        <f>VLOOKUP(I13,Price!$A$1:$B$5,2,FALSE)</f>
        <v>492</v>
      </c>
      <c r="K13" s="44">
        <v>0</v>
      </c>
      <c r="L13" s="45" t="str">
        <f>VLOOKUP(K13,Source!$A$1:$B$5,2,FALSE)</f>
        <v>Skattebetalning</v>
      </c>
      <c r="M13" s="46">
        <v>1</v>
      </c>
      <c r="N13" s="45" t="str">
        <f>VLOOKUP(M13,Land!$A$1:$B$4,2,FALSE)</f>
        <v>Industriella företag</v>
      </c>
      <c r="O13" s="46">
        <v>1</v>
      </c>
      <c r="P13" s="45" t="str">
        <f>VLOOKUP(O13,Monitor!$A$1:$B$3,2,FALSE)</f>
        <v>Offentlig förvaltning</v>
      </c>
      <c r="Q13" s="46">
        <v>2</v>
      </c>
      <c r="R13" s="47">
        <f>VLOOKUP(Q13,Price!$A$1:$B$5,2,FALSE)</f>
        <v>4920</v>
      </c>
    </row>
    <row r="14" spans="1:18" x14ac:dyDescent="0.2">
      <c r="A14" s="9">
        <v>13</v>
      </c>
      <c r="B14" s="12">
        <v>2</v>
      </c>
      <c r="C14" s="32">
        <v>0</v>
      </c>
      <c r="D14" s="23" t="str">
        <f>VLOOKUP(C14,Source!$A$1:$B$5,2,FALSE)</f>
        <v>Skattebetalning</v>
      </c>
      <c r="E14" s="21">
        <v>0</v>
      </c>
      <c r="F14" s="23" t="str">
        <f>VLOOKUP(E14,Land!$A$1:$B$4,2,FALSE)</f>
        <v>Småskaliga privata ägare</v>
      </c>
      <c r="G14" s="21">
        <v>1</v>
      </c>
      <c r="H14" s="24" t="str">
        <f>VLOOKUP(G14,Monitor!$A$1:$B$3,2,FALSE)</f>
        <v>Offentlig förvaltning</v>
      </c>
      <c r="I14" s="21">
        <v>3</v>
      </c>
      <c r="J14" s="36">
        <f>VLOOKUP(I14,Price!$A$1:$B$5,2,FALSE)</f>
        <v>7380</v>
      </c>
      <c r="K14" s="44">
        <v>2</v>
      </c>
      <c r="L14" s="45" t="str">
        <f>VLOOKUP(K14,Source!$A$1:$B$5,2,FALSE)</f>
        <v>Marknadscertifiering</v>
      </c>
      <c r="M14" s="46">
        <v>0</v>
      </c>
      <c r="N14" s="45" t="str">
        <f>VLOOKUP(M14,Land!$A$1:$B$4,2,FALSE)</f>
        <v>Småskaliga privata ägare</v>
      </c>
      <c r="O14" s="46">
        <v>1</v>
      </c>
      <c r="P14" s="45" t="str">
        <f>VLOOKUP(O14,Monitor!$A$1:$B$3,2,FALSE)</f>
        <v>Offentlig förvaltning</v>
      </c>
      <c r="Q14" s="46">
        <v>2</v>
      </c>
      <c r="R14" s="47">
        <f>VLOOKUP(Q14,Price!$A$1:$B$5,2,FALSE)</f>
        <v>4920</v>
      </c>
    </row>
    <row r="15" spans="1:18" x14ac:dyDescent="0.2">
      <c r="A15" s="9">
        <v>14</v>
      </c>
      <c r="B15" s="12">
        <v>2</v>
      </c>
      <c r="C15" s="32">
        <v>2</v>
      </c>
      <c r="D15" s="23" t="str">
        <f>VLOOKUP(C15,Source!$A$1:$B$5,2,FALSE)</f>
        <v>Marknadscertifiering</v>
      </c>
      <c r="E15" s="21">
        <v>0</v>
      </c>
      <c r="F15" s="23" t="str">
        <f>VLOOKUP(E15,Land!$A$1:$B$4,2,FALSE)</f>
        <v>Småskaliga privata ägare</v>
      </c>
      <c r="G15" s="21">
        <v>0</v>
      </c>
      <c r="H15" s="24" t="str">
        <f>VLOOKUP(G15,Monitor!$A$1:$B$3,2,FALSE)</f>
        <v>Privat, oberoende granskning</v>
      </c>
      <c r="I15" s="21">
        <v>1</v>
      </c>
      <c r="J15" s="36">
        <f>VLOOKUP(I15,Price!$A$1:$B$5,2,FALSE)</f>
        <v>2460</v>
      </c>
      <c r="K15" s="44">
        <v>1</v>
      </c>
      <c r="L15" s="45" t="str">
        <f>VLOOKUP(K15,Source!$A$1:$B$5,2,FALSE)</f>
        <v>Frivillig donation</v>
      </c>
      <c r="M15" s="46">
        <v>1</v>
      </c>
      <c r="N15" s="45" t="str">
        <f>VLOOKUP(M15,Land!$A$1:$B$4,2,FALSE)</f>
        <v>Industriella företag</v>
      </c>
      <c r="O15" s="46">
        <v>0</v>
      </c>
      <c r="P15" s="45" t="str">
        <f>VLOOKUP(O15,Monitor!$A$1:$B$3,2,FALSE)</f>
        <v>Privat, oberoende granskning</v>
      </c>
      <c r="Q15" s="46">
        <v>2</v>
      </c>
      <c r="R15" s="47">
        <f>VLOOKUP(Q15,Price!$A$1:$B$5,2,FALSE)</f>
        <v>4920</v>
      </c>
    </row>
    <row r="16" spans="1:18" x14ac:dyDescent="0.2">
      <c r="A16" s="9">
        <v>15</v>
      </c>
      <c r="B16" s="12">
        <v>2</v>
      </c>
      <c r="C16" s="32">
        <v>1</v>
      </c>
      <c r="D16" s="23" t="str">
        <f>VLOOKUP(C16,Source!$A$1:$B$5,2,FALSE)</f>
        <v>Frivillig donation</v>
      </c>
      <c r="E16" s="21">
        <v>1</v>
      </c>
      <c r="F16" s="23" t="str">
        <f>VLOOKUP(E16,Land!$A$1:$B$4,2,FALSE)</f>
        <v>Industriella företag</v>
      </c>
      <c r="G16" s="21">
        <v>1</v>
      </c>
      <c r="H16" s="24" t="str">
        <f>VLOOKUP(G16,Monitor!$A$1:$B$3,2,FALSE)</f>
        <v>Offentlig förvaltning</v>
      </c>
      <c r="I16" s="21">
        <v>2</v>
      </c>
      <c r="J16" s="36">
        <f>VLOOKUP(I16,Price!$A$1:$B$5,2,FALSE)</f>
        <v>4920</v>
      </c>
      <c r="K16" s="44">
        <v>1</v>
      </c>
      <c r="L16" s="45" t="str">
        <f>VLOOKUP(K16,Source!$A$1:$B$5,2,FALSE)</f>
        <v>Frivillig donation</v>
      </c>
      <c r="M16" s="46">
        <v>2</v>
      </c>
      <c r="N16" s="45" t="str">
        <f>VLOOKUP(M16,Land!$A$1:$B$4,2,FALSE)</f>
        <v>Offentlig mark</v>
      </c>
      <c r="O16" s="46">
        <v>1</v>
      </c>
      <c r="P16" s="45" t="str">
        <f>VLOOKUP(O16,Monitor!$A$1:$B$3,2,FALSE)</f>
        <v>Offentlig förvaltning</v>
      </c>
      <c r="Q16" s="46">
        <v>2</v>
      </c>
      <c r="R16" s="47">
        <f>VLOOKUP(Q16,Price!$A$1:$B$5,2,FALSE)</f>
        <v>4920</v>
      </c>
    </row>
    <row r="17" spans="1:18" x14ac:dyDescent="0.2">
      <c r="A17" s="9">
        <v>16</v>
      </c>
      <c r="B17" s="13">
        <v>2</v>
      </c>
      <c r="C17" s="33">
        <v>1</v>
      </c>
      <c r="D17" s="26" t="str">
        <f>VLOOKUP(C17,Source!$A$1:$B$5,2,FALSE)</f>
        <v>Frivillig donation</v>
      </c>
      <c r="E17" s="25">
        <v>2</v>
      </c>
      <c r="F17" s="26" t="str">
        <f>VLOOKUP(E17,Land!$A$1:$B$4,2,FALSE)</f>
        <v>Offentlig mark</v>
      </c>
      <c r="G17" s="25">
        <v>0</v>
      </c>
      <c r="H17" s="27" t="str">
        <f>VLOOKUP(G17,Monitor!$A$1:$B$3,2,FALSE)</f>
        <v>Privat, oberoende granskning</v>
      </c>
      <c r="I17" s="25">
        <v>1</v>
      </c>
      <c r="J17" s="37">
        <f>VLOOKUP(I17,Price!$A$1:$B$5,2,FALSE)</f>
        <v>2460</v>
      </c>
      <c r="K17" s="48">
        <v>0</v>
      </c>
      <c r="L17" s="49" t="str">
        <f>VLOOKUP(K17,Source!$A$1:$B$5,2,FALSE)</f>
        <v>Skattebetalning</v>
      </c>
      <c r="M17" s="50">
        <v>0</v>
      </c>
      <c r="N17" s="49" t="str">
        <f>VLOOKUP(M17,Land!$A$1:$B$4,2,FALSE)</f>
        <v>Småskaliga privata ägare</v>
      </c>
      <c r="O17" s="50">
        <v>0</v>
      </c>
      <c r="P17" s="49" t="str">
        <f>VLOOKUP(O17,Monitor!$A$1:$B$3,2,FALSE)</f>
        <v>Privat, oberoende granskning</v>
      </c>
      <c r="Q17" s="50">
        <v>1</v>
      </c>
      <c r="R17" s="51">
        <f>VLOOKUP(Q17,Price!$A$1:$B$5,2,FALSE)</f>
        <v>2460</v>
      </c>
    </row>
    <row r="18" spans="1:18" x14ac:dyDescent="0.2">
      <c r="A18" s="9">
        <v>17</v>
      </c>
      <c r="B18" s="14">
        <v>3</v>
      </c>
      <c r="C18" s="28">
        <v>0</v>
      </c>
      <c r="D18" s="29" t="str">
        <f>VLOOKUP(C18,Source!$A$1:$B$5,2,FALSE)</f>
        <v>Skattebetalning</v>
      </c>
      <c r="E18" s="30">
        <v>2</v>
      </c>
      <c r="F18" s="29" t="str">
        <f>VLOOKUP(E18,Land!$A$1:$B$4,2,FALSE)</f>
        <v>Offentlig mark</v>
      </c>
      <c r="G18" s="30">
        <v>1</v>
      </c>
      <c r="H18" s="31" t="str">
        <f>VLOOKUP(G18,Monitor!$A$1:$B$3,2,FALSE)</f>
        <v>Offentlig förvaltning</v>
      </c>
      <c r="I18" s="21">
        <v>3</v>
      </c>
      <c r="J18" s="38">
        <f>VLOOKUP(I18,Price!$A$1:$B$5,2,FALSE)</f>
        <v>7380</v>
      </c>
      <c r="K18" s="52">
        <v>3</v>
      </c>
      <c r="L18" s="53" t="str">
        <f>VLOOKUP(K18,Source!$A$1:$B$5,2,FALSE)</f>
        <v>Obligatorisk kompensation</v>
      </c>
      <c r="M18" s="54">
        <v>2</v>
      </c>
      <c r="N18" s="53" t="str">
        <f>VLOOKUP(M18,Land!$A$1:$B$4,2,FALSE)</f>
        <v>Offentlig mark</v>
      </c>
      <c r="O18" s="54">
        <v>1</v>
      </c>
      <c r="P18" s="53" t="str">
        <f>VLOOKUP(O18,Monitor!$A$1:$B$3,2,FALSE)</f>
        <v>Offentlig förvaltning</v>
      </c>
      <c r="Q18" s="54">
        <v>1</v>
      </c>
      <c r="R18" s="55">
        <f>VLOOKUP(Q18,Price!$A$1:$B$5,2,FALSE)</f>
        <v>2460</v>
      </c>
    </row>
    <row r="19" spans="1:18" x14ac:dyDescent="0.2">
      <c r="A19" s="9">
        <v>18</v>
      </c>
      <c r="B19" s="12">
        <v>3</v>
      </c>
      <c r="C19" s="32">
        <v>2</v>
      </c>
      <c r="D19" s="23" t="str">
        <f>VLOOKUP(C19,Source!$A$1:$B$5,2,FALSE)</f>
        <v>Marknadscertifiering</v>
      </c>
      <c r="E19" s="21">
        <v>2</v>
      </c>
      <c r="F19" s="23" t="str">
        <f>VLOOKUP(E19,Land!$A$1:$B$4,2,FALSE)</f>
        <v>Offentlig mark</v>
      </c>
      <c r="G19" s="21">
        <v>0</v>
      </c>
      <c r="H19" s="24" t="str">
        <f>VLOOKUP(G19,Monitor!$A$1:$B$3,2,FALSE)</f>
        <v>Privat, oberoende granskning</v>
      </c>
      <c r="I19" s="21">
        <v>1</v>
      </c>
      <c r="J19" s="36">
        <f>VLOOKUP(I19,Price!$A$1:$B$5,2,FALSE)</f>
        <v>2460</v>
      </c>
      <c r="K19" s="44">
        <v>1</v>
      </c>
      <c r="L19" s="45" t="str">
        <f>VLOOKUP(K19,Source!$A$1:$B$5,2,FALSE)</f>
        <v>Frivillig donation</v>
      </c>
      <c r="M19" s="46">
        <v>0</v>
      </c>
      <c r="N19" s="45" t="str">
        <f>VLOOKUP(M19,Land!$A$1:$B$4,2,FALSE)</f>
        <v>Småskaliga privata ägare</v>
      </c>
      <c r="O19" s="46">
        <v>1</v>
      </c>
      <c r="P19" s="45" t="str">
        <f>VLOOKUP(O19,Monitor!$A$1:$B$3,2,FALSE)</f>
        <v>Offentlig förvaltning</v>
      </c>
      <c r="Q19" s="46">
        <v>1</v>
      </c>
      <c r="R19" s="47">
        <f>VLOOKUP(Q19,Price!$A$1:$B$5,2,FALSE)</f>
        <v>2460</v>
      </c>
    </row>
    <row r="20" spans="1:18" x14ac:dyDescent="0.2">
      <c r="A20" s="9">
        <v>19</v>
      </c>
      <c r="B20" s="12">
        <v>3</v>
      </c>
      <c r="C20" s="32">
        <v>2</v>
      </c>
      <c r="D20" s="23" t="str">
        <f>VLOOKUP(C20,Source!$A$1:$B$5,2,FALSE)</f>
        <v>Marknadscertifiering</v>
      </c>
      <c r="E20" s="21">
        <v>1</v>
      </c>
      <c r="F20" s="23" t="str">
        <f>VLOOKUP(E20,Land!$A$1:$B$4,2,FALSE)</f>
        <v>Industriella företag</v>
      </c>
      <c r="G20" s="21">
        <v>1</v>
      </c>
      <c r="H20" s="24" t="str">
        <f>VLOOKUP(G20,Monitor!$A$1:$B$3,2,FALSE)</f>
        <v>Offentlig förvaltning</v>
      </c>
      <c r="I20" s="21">
        <v>3</v>
      </c>
      <c r="J20" s="36">
        <f>VLOOKUP(I20,Price!$A$1:$B$5,2,FALSE)</f>
        <v>7380</v>
      </c>
      <c r="K20" s="44">
        <v>0</v>
      </c>
      <c r="L20" s="45" t="str">
        <f>VLOOKUP(K20,Source!$A$1:$B$5,2,FALSE)</f>
        <v>Skattebetalning</v>
      </c>
      <c r="M20" s="46">
        <v>0</v>
      </c>
      <c r="N20" s="45" t="str">
        <f>VLOOKUP(M20,Land!$A$1:$B$4,2,FALSE)</f>
        <v>Småskaliga privata ägare</v>
      </c>
      <c r="O20" s="46">
        <v>0</v>
      </c>
      <c r="P20" s="45" t="str">
        <f>VLOOKUP(O20,Monitor!$A$1:$B$3,2,FALSE)</f>
        <v>Privat, oberoende granskning</v>
      </c>
      <c r="Q20" s="46">
        <v>0</v>
      </c>
      <c r="R20" s="47">
        <f>VLOOKUP(Q20,Price!$A$1:$B$5,2,FALSE)</f>
        <v>492</v>
      </c>
    </row>
    <row r="21" spans="1:18" x14ac:dyDescent="0.2">
      <c r="A21" s="9">
        <v>20</v>
      </c>
      <c r="B21" s="12">
        <v>3</v>
      </c>
      <c r="C21" s="32">
        <v>1</v>
      </c>
      <c r="D21" s="23" t="str">
        <f>VLOOKUP(C21,Source!$A$1:$B$5,2,FALSE)</f>
        <v>Frivillig donation</v>
      </c>
      <c r="E21" s="21">
        <v>1</v>
      </c>
      <c r="F21" s="23" t="str">
        <f>VLOOKUP(E21,Land!$A$1:$B$4,2,FALSE)</f>
        <v>Industriella företag</v>
      </c>
      <c r="G21" s="21">
        <v>1</v>
      </c>
      <c r="H21" s="24" t="str">
        <f>VLOOKUP(G21,Monitor!$A$1:$B$3,2,FALSE)</f>
        <v>Offentlig förvaltning</v>
      </c>
      <c r="I21" s="21">
        <v>1</v>
      </c>
      <c r="J21" s="36">
        <f>VLOOKUP(I21,Price!$A$1:$B$5,2,FALSE)</f>
        <v>2460</v>
      </c>
      <c r="K21" s="44">
        <v>0</v>
      </c>
      <c r="L21" s="45" t="str">
        <f>VLOOKUP(K21,Source!$A$1:$B$5,2,FALSE)</f>
        <v>Skattebetalning</v>
      </c>
      <c r="M21" s="46">
        <v>1</v>
      </c>
      <c r="N21" s="45" t="str">
        <f>VLOOKUP(M21,Land!$A$1:$B$4,2,FALSE)</f>
        <v>Industriella företag</v>
      </c>
      <c r="O21" s="46">
        <v>1</v>
      </c>
      <c r="P21" s="45" t="str">
        <f>VLOOKUP(O21,Monitor!$A$1:$B$3,2,FALSE)</f>
        <v>Offentlig förvaltning</v>
      </c>
      <c r="Q21" s="46">
        <v>1</v>
      </c>
      <c r="R21" s="47">
        <f>VLOOKUP(Q21,Price!$A$1:$B$5,2,FALSE)</f>
        <v>2460</v>
      </c>
    </row>
    <row r="22" spans="1:18" x14ac:dyDescent="0.2">
      <c r="A22" s="9">
        <v>21</v>
      </c>
      <c r="B22" s="12">
        <v>3</v>
      </c>
      <c r="C22" s="32">
        <v>3</v>
      </c>
      <c r="D22" s="23" t="str">
        <f>VLOOKUP(C22,Source!$A$1:$B$5,2,FALSE)</f>
        <v>Obligatorisk kompensation</v>
      </c>
      <c r="E22" s="21">
        <v>2</v>
      </c>
      <c r="F22" s="23" t="str">
        <f>VLOOKUP(E22,Land!$A$1:$B$4,2,FALSE)</f>
        <v>Offentlig mark</v>
      </c>
      <c r="G22" s="21">
        <v>1</v>
      </c>
      <c r="H22" s="24" t="str">
        <f>VLOOKUP(G22,Monitor!$A$1:$B$3,2,FALSE)</f>
        <v>Offentlig förvaltning</v>
      </c>
      <c r="I22" s="21">
        <v>1</v>
      </c>
      <c r="J22" s="36">
        <f>VLOOKUP(I22,Price!$A$1:$B$5,2,FALSE)</f>
        <v>2460</v>
      </c>
      <c r="K22" s="44">
        <v>2</v>
      </c>
      <c r="L22" s="45" t="str">
        <f>VLOOKUP(K22,Source!$A$1:$B$5,2,FALSE)</f>
        <v>Marknadscertifiering</v>
      </c>
      <c r="M22" s="46">
        <v>1</v>
      </c>
      <c r="N22" s="45" t="str">
        <f>VLOOKUP(M22,Land!$A$1:$B$4,2,FALSE)</f>
        <v>Industriella företag</v>
      </c>
      <c r="O22" s="46">
        <v>1</v>
      </c>
      <c r="P22" s="45" t="str">
        <f>VLOOKUP(O22,Monitor!$A$1:$B$3,2,FALSE)</f>
        <v>Offentlig förvaltning</v>
      </c>
      <c r="Q22" s="46">
        <v>2</v>
      </c>
      <c r="R22" s="47">
        <f>VLOOKUP(Q22,Price!$A$1:$B$5,2,FALSE)</f>
        <v>4920</v>
      </c>
    </row>
    <row r="23" spans="1:18" x14ac:dyDescent="0.2">
      <c r="A23" s="9">
        <v>22</v>
      </c>
      <c r="B23" s="12">
        <v>3</v>
      </c>
      <c r="C23" s="32">
        <v>2</v>
      </c>
      <c r="D23" s="23" t="str">
        <f>VLOOKUP(C23,Source!$A$1:$B$5,2,FALSE)</f>
        <v>Marknadscertifiering</v>
      </c>
      <c r="E23" s="21">
        <v>2</v>
      </c>
      <c r="F23" s="23" t="str">
        <f>VLOOKUP(E23,Land!$A$1:$B$4,2,FALSE)</f>
        <v>Offentlig mark</v>
      </c>
      <c r="G23" s="21">
        <v>1</v>
      </c>
      <c r="H23" s="24" t="str">
        <f>VLOOKUP(G23,Monitor!$A$1:$B$3,2,FALSE)</f>
        <v>Offentlig förvaltning</v>
      </c>
      <c r="I23" s="21">
        <v>1</v>
      </c>
      <c r="J23" s="36">
        <f>VLOOKUP(I23,Price!$A$1:$B$5,2,FALSE)</f>
        <v>2460</v>
      </c>
      <c r="K23" s="44">
        <v>1</v>
      </c>
      <c r="L23" s="45" t="str">
        <f>VLOOKUP(K23,Source!$A$1:$B$5,2,FALSE)</f>
        <v>Frivillig donation</v>
      </c>
      <c r="M23" s="46">
        <v>1</v>
      </c>
      <c r="N23" s="45" t="str">
        <f>VLOOKUP(M23,Land!$A$1:$B$4,2,FALSE)</f>
        <v>Industriella företag</v>
      </c>
      <c r="O23" s="46">
        <v>0</v>
      </c>
      <c r="P23" s="45" t="str">
        <f>VLOOKUP(O23,Monitor!$A$1:$B$3,2,FALSE)</f>
        <v>Privat, oberoende granskning</v>
      </c>
      <c r="Q23" s="46">
        <v>3</v>
      </c>
      <c r="R23" s="47">
        <f>VLOOKUP(Q23,Price!$A$1:$B$5,2,FALSE)</f>
        <v>7380</v>
      </c>
    </row>
    <row r="24" spans="1:18" x14ac:dyDescent="0.2">
      <c r="A24" s="9">
        <v>23</v>
      </c>
      <c r="B24" s="12">
        <v>3</v>
      </c>
      <c r="C24" s="32">
        <v>2</v>
      </c>
      <c r="D24" s="23" t="str">
        <f>VLOOKUP(C24,Source!$A$1:$B$5,2,FALSE)</f>
        <v>Marknadscertifiering</v>
      </c>
      <c r="E24" s="21">
        <v>1</v>
      </c>
      <c r="F24" s="23" t="str">
        <f>VLOOKUP(E24,Land!$A$1:$B$4,2,FALSE)</f>
        <v>Industriella företag</v>
      </c>
      <c r="G24" s="21">
        <v>0</v>
      </c>
      <c r="H24" s="24" t="str">
        <f>VLOOKUP(G24,Monitor!$A$1:$B$3,2,FALSE)</f>
        <v>Privat, oberoende granskning</v>
      </c>
      <c r="I24" s="21">
        <v>1</v>
      </c>
      <c r="J24" s="36">
        <f>VLOOKUP(I24,Price!$A$1:$B$5,2,FALSE)</f>
        <v>2460</v>
      </c>
      <c r="K24" s="44">
        <v>0</v>
      </c>
      <c r="L24" s="45" t="str">
        <f>VLOOKUP(K24,Source!$A$1:$B$5,2,FALSE)</f>
        <v>Skattebetalning</v>
      </c>
      <c r="M24" s="46">
        <v>1</v>
      </c>
      <c r="N24" s="45" t="str">
        <f>VLOOKUP(M24,Land!$A$1:$B$4,2,FALSE)</f>
        <v>Industriella företag</v>
      </c>
      <c r="O24" s="46">
        <v>0</v>
      </c>
      <c r="P24" s="45" t="str">
        <f>VLOOKUP(O24,Monitor!$A$1:$B$3,2,FALSE)</f>
        <v>Privat, oberoende granskning</v>
      </c>
      <c r="Q24" s="46">
        <v>2</v>
      </c>
      <c r="R24" s="47">
        <f>VLOOKUP(Q24,Price!$A$1:$B$5,2,FALSE)</f>
        <v>4920</v>
      </c>
    </row>
    <row r="25" spans="1:18" x14ac:dyDescent="0.2">
      <c r="A25" s="9">
        <v>24</v>
      </c>
      <c r="B25" s="13">
        <v>3</v>
      </c>
      <c r="C25" s="33">
        <v>2</v>
      </c>
      <c r="D25" s="26" t="str">
        <f>VLOOKUP(C25,Source!$A$1:$B$5,2,FALSE)</f>
        <v>Marknadscertifiering</v>
      </c>
      <c r="E25" s="25">
        <v>2</v>
      </c>
      <c r="F25" s="26" t="str">
        <f>VLOOKUP(E25,Land!$A$1:$B$4,2,FALSE)</f>
        <v>Offentlig mark</v>
      </c>
      <c r="G25" s="25">
        <v>0</v>
      </c>
      <c r="H25" s="27" t="str">
        <f>VLOOKUP(G25,Monitor!$A$1:$B$3,2,FALSE)</f>
        <v>Privat, oberoende granskning</v>
      </c>
      <c r="I25" s="25">
        <v>3</v>
      </c>
      <c r="J25" s="37">
        <f>VLOOKUP(I25,Price!$A$1:$B$5,2,FALSE)</f>
        <v>7380</v>
      </c>
      <c r="K25" s="48">
        <v>1</v>
      </c>
      <c r="L25" s="49" t="str">
        <f>VLOOKUP(K25,Source!$A$1:$B$5,2,FALSE)</f>
        <v>Frivillig donation</v>
      </c>
      <c r="M25" s="50">
        <v>2</v>
      </c>
      <c r="N25" s="49" t="str">
        <f>VLOOKUP(M25,Land!$A$1:$B$4,2,FALSE)</f>
        <v>Offentlig mark</v>
      </c>
      <c r="O25" s="50">
        <v>0</v>
      </c>
      <c r="P25" s="49" t="str">
        <f>VLOOKUP(O25,Monitor!$A$1:$B$3,2,FALSE)</f>
        <v>Privat, oberoende granskning</v>
      </c>
      <c r="Q25" s="50">
        <v>2</v>
      </c>
      <c r="R25" s="51">
        <f>VLOOKUP(Q25,Price!$A$1:$B$5,2,FALSE)</f>
        <v>4920</v>
      </c>
    </row>
    <row r="26" spans="1:18" x14ac:dyDescent="0.2">
      <c r="A26" s="9">
        <v>25</v>
      </c>
      <c r="B26" s="14">
        <v>4</v>
      </c>
      <c r="C26" s="28">
        <v>3</v>
      </c>
      <c r="D26" s="29" t="str">
        <f>VLOOKUP(C26,Source!$A$1:$B$5,2,FALSE)</f>
        <v>Obligatorisk kompensation</v>
      </c>
      <c r="E26" s="30">
        <v>1</v>
      </c>
      <c r="F26" s="29" t="str">
        <f>VLOOKUP(E26,Land!$A$1:$B$4,2,FALSE)</f>
        <v>Industriella företag</v>
      </c>
      <c r="G26" s="30">
        <v>0</v>
      </c>
      <c r="H26" s="31" t="str">
        <f>VLOOKUP(G26,Monitor!$A$1:$B$3,2,FALSE)</f>
        <v>Privat, oberoende granskning</v>
      </c>
      <c r="I26" s="21">
        <v>2</v>
      </c>
      <c r="J26" s="38">
        <f>VLOOKUP(I26,Price!$A$1:$B$5,2,FALSE)</f>
        <v>4920</v>
      </c>
      <c r="K26" s="52">
        <v>2</v>
      </c>
      <c r="L26" s="53" t="str">
        <f>VLOOKUP(K26,Source!$A$1:$B$5,2,FALSE)</f>
        <v>Marknadscertifiering</v>
      </c>
      <c r="M26" s="54">
        <v>2</v>
      </c>
      <c r="N26" s="53" t="str">
        <f>VLOOKUP(M26,Land!$A$1:$B$4,2,FALSE)</f>
        <v>Offentlig mark</v>
      </c>
      <c r="O26" s="54">
        <v>1</v>
      </c>
      <c r="P26" s="53" t="str">
        <f>VLOOKUP(O26,Monitor!$A$1:$B$3,2,FALSE)</f>
        <v>Offentlig förvaltning</v>
      </c>
      <c r="Q26" s="54">
        <v>3</v>
      </c>
      <c r="R26" s="55">
        <f>VLOOKUP(Q26,Price!$A$1:$B$5,2,FALSE)</f>
        <v>7380</v>
      </c>
    </row>
    <row r="27" spans="1:18" x14ac:dyDescent="0.2">
      <c r="A27" s="9">
        <v>26</v>
      </c>
      <c r="B27" s="12">
        <v>4</v>
      </c>
      <c r="C27" s="32">
        <v>2</v>
      </c>
      <c r="D27" s="23" t="str">
        <f>VLOOKUP(C27,Source!$A$1:$B$5,2,FALSE)</f>
        <v>Marknadscertifiering</v>
      </c>
      <c r="E27" s="21">
        <v>0</v>
      </c>
      <c r="F27" s="23" t="str">
        <f>VLOOKUP(E27,Land!$A$1:$B$4,2,FALSE)</f>
        <v>Småskaliga privata ägare</v>
      </c>
      <c r="G27" s="21">
        <v>0</v>
      </c>
      <c r="H27" s="24" t="str">
        <f>VLOOKUP(G27,Monitor!$A$1:$B$3,2,FALSE)</f>
        <v>Privat, oberoende granskning</v>
      </c>
      <c r="I27" s="21">
        <v>3</v>
      </c>
      <c r="J27" s="36">
        <f>VLOOKUP(I27,Price!$A$1:$B$5,2,FALSE)</f>
        <v>7380</v>
      </c>
      <c r="K27" s="44">
        <v>1</v>
      </c>
      <c r="L27" s="45" t="str">
        <f>VLOOKUP(K27,Source!$A$1:$B$5,2,FALSE)</f>
        <v>Frivillig donation</v>
      </c>
      <c r="M27" s="46">
        <v>0</v>
      </c>
      <c r="N27" s="45" t="str">
        <f>VLOOKUP(M27,Land!$A$1:$B$4,2,FALSE)</f>
        <v>Småskaliga privata ägare</v>
      </c>
      <c r="O27" s="46">
        <v>1</v>
      </c>
      <c r="P27" s="45" t="str">
        <f>VLOOKUP(O27,Monitor!$A$1:$B$3,2,FALSE)</f>
        <v>Offentlig förvaltning</v>
      </c>
      <c r="Q27" s="46">
        <v>3</v>
      </c>
      <c r="R27" s="47">
        <f>VLOOKUP(Q27,Price!$A$1:$B$5,2,FALSE)</f>
        <v>7380</v>
      </c>
    </row>
    <row r="28" spans="1:18" x14ac:dyDescent="0.2">
      <c r="A28" s="9">
        <v>27</v>
      </c>
      <c r="B28" s="12">
        <v>4</v>
      </c>
      <c r="C28" s="32">
        <v>3</v>
      </c>
      <c r="D28" s="23" t="str">
        <f>VLOOKUP(C28,Source!$A$1:$B$5,2,FALSE)</f>
        <v>Obligatorisk kompensation</v>
      </c>
      <c r="E28" s="21">
        <v>1</v>
      </c>
      <c r="F28" s="23" t="str">
        <f>VLOOKUP(E28,Land!$A$1:$B$4,2,FALSE)</f>
        <v>Industriella företag</v>
      </c>
      <c r="G28" s="21">
        <v>0</v>
      </c>
      <c r="H28" s="24" t="str">
        <f>VLOOKUP(G28,Monitor!$A$1:$B$3,2,FALSE)</f>
        <v>Privat, oberoende granskning</v>
      </c>
      <c r="I28" s="21">
        <v>2</v>
      </c>
      <c r="J28" s="36">
        <f>VLOOKUP(I28,Price!$A$1:$B$5,2,FALSE)</f>
        <v>4920</v>
      </c>
      <c r="K28" s="44">
        <v>2</v>
      </c>
      <c r="L28" s="45" t="str">
        <f>VLOOKUP(K28,Source!$A$1:$B$5,2,FALSE)</f>
        <v>Marknadscertifiering</v>
      </c>
      <c r="M28" s="46">
        <v>1</v>
      </c>
      <c r="N28" s="45" t="str">
        <f>VLOOKUP(M28,Land!$A$1:$B$4,2,FALSE)</f>
        <v>Industriella företag</v>
      </c>
      <c r="O28" s="46">
        <v>1</v>
      </c>
      <c r="P28" s="45" t="str">
        <f>VLOOKUP(O28,Monitor!$A$1:$B$3,2,FALSE)</f>
        <v>Offentlig förvaltning</v>
      </c>
      <c r="Q28" s="46">
        <v>1</v>
      </c>
      <c r="R28" s="47">
        <f>VLOOKUP(Q28,Price!$A$1:$B$5,2,FALSE)</f>
        <v>2460</v>
      </c>
    </row>
    <row r="29" spans="1:18" x14ac:dyDescent="0.2">
      <c r="A29" s="9">
        <v>28</v>
      </c>
      <c r="B29" s="12">
        <v>4</v>
      </c>
      <c r="C29" s="32">
        <v>1</v>
      </c>
      <c r="D29" s="23" t="str">
        <f>VLOOKUP(C29,Source!$A$1:$B$5,2,FALSE)</f>
        <v>Frivillig donation</v>
      </c>
      <c r="E29" s="21">
        <v>2</v>
      </c>
      <c r="F29" s="23" t="str">
        <f>VLOOKUP(E29,Land!$A$1:$B$4,2,FALSE)</f>
        <v>Offentlig mark</v>
      </c>
      <c r="G29" s="21">
        <v>1</v>
      </c>
      <c r="H29" s="24" t="str">
        <f>VLOOKUP(G29,Monitor!$A$1:$B$3,2,FALSE)</f>
        <v>Offentlig förvaltning</v>
      </c>
      <c r="I29" s="21">
        <v>3</v>
      </c>
      <c r="J29" s="36">
        <f>VLOOKUP(I29,Price!$A$1:$B$5,2,FALSE)</f>
        <v>7380</v>
      </c>
      <c r="K29" s="44">
        <v>2</v>
      </c>
      <c r="L29" s="45" t="str">
        <f>VLOOKUP(K29,Source!$A$1:$B$5,2,FALSE)</f>
        <v>Marknadscertifiering</v>
      </c>
      <c r="M29" s="46">
        <v>1</v>
      </c>
      <c r="N29" s="45" t="str">
        <f>VLOOKUP(M29,Land!$A$1:$B$4,2,FALSE)</f>
        <v>Industriella företag</v>
      </c>
      <c r="O29" s="46">
        <v>1</v>
      </c>
      <c r="P29" s="45" t="str">
        <f>VLOOKUP(O29,Monitor!$A$1:$B$3,2,FALSE)</f>
        <v>Offentlig förvaltning</v>
      </c>
      <c r="Q29" s="46">
        <v>2</v>
      </c>
      <c r="R29" s="47">
        <f>VLOOKUP(Q29,Price!$A$1:$B$5,2,FALSE)</f>
        <v>4920</v>
      </c>
    </row>
    <row r="30" spans="1:18" x14ac:dyDescent="0.2">
      <c r="A30" s="9">
        <v>29</v>
      </c>
      <c r="B30" s="12">
        <v>4</v>
      </c>
      <c r="C30" s="32">
        <v>3</v>
      </c>
      <c r="D30" s="23" t="str">
        <f>VLOOKUP(C30,Source!$A$1:$B$5,2,FALSE)</f>
        <v>Obligatorisk kompensation</v>
      </c>
      <c r="E30" s="21">
        <v>2</v>
      </c>
      <c r="F30" s="23" t="str">
        <f>VLOOKUP(E30,Land!$A$1:$B$4,2,FALSE)</f>
        <v>Offentlig mark</v>
      </c>
      <c r="G30" s="21">
        <v>0</v>
      </c>
      <c r="H30" s="24" t="str">
        <f>VLOOKUP(G30,Monitor!$A$1:$B$3,2,FALSE)</f>
        <v>Privat, oberoende granskning</v>
      </c>
      <c r="I30" s="21">
        <v>1</v>
      </c>
      <c r="J30" s="36">
        <f>VLOOKUP(I30,Price!$A$1:$B$5,2,FALSE)</f>
        <v>2460</v>
      </c>
      <c r="K30" s="44">
        <v>0</v>
      </c>
      <c r="L30" s="45" t="str">
        <f>VLOOKUP(K30,Source!$A$1:$B$5,2,FALSE)</f>
        <v>Skattebetalning</v>
      </c>
      <c r="M30" s="46">
        <v>0</v>
      </c>
      <c r="N30" s="45" t="str">
        <f>VLOOKUP(M30,Land!$A$1:$B$4,2,FALSE)</f>
        <v>Småskaliga privata ägare</v>
      </c>
      <c r="O30" s="46">
        <v>0</v>
      </c>
      <c r="P30" s="45" t="str">
        <f>VLOOKUP(O30,Monitor!$A$1:$B$3,2,FALSE)</f>
        <v>Privat, oberoende granskning</v>
      </c>
      <c r="Q30" s="46">
        <v>1</v>
      </c>
      <c r="R30" s="47">
        <f>VLOOKUP(Q30,Price!$A$1:$B$5,2,FALSE)</f>
        <v>2460</v>
      </c>
    </row>
    <row r="31" spans="1:18" x14ac:dyDescent="0.2">
      <c r="A31" s="9">
        <v>30</v>
      </c>
      <c r="B31" s="12">
        <v>4</v>
      </c>
      <c r="C31" s="32">
        <v>0</v>
      </c>
      <c r="D31" s="23" t="str">
        <f>VLOOKUP(C31,Source!$A$1:$B$5,2,FALSE)</f>
        <v>Skattebetalning</v>
      </c>
      <c r="E31" s="21">
        <v>0</v>
      </c>
      <c r="F31" s="23" t="str">
        <f>VLOOKUP(E31,Land!$A$1:$B$4,2,FALSE)</f>
        <v>Småskaliga privata ägare</v>
      </c>
      <c r="G31" s="21">
        <v>0</v>
      </c>
      <c r="H31" s="24" t="str">
        <f>VLOOKUP(G31,Monitor!$A$1:$B$3,2,FALSE)</f>
        <v>Privat, oberoende granskning</v>
      </c>
      <c r="I31" s="21">
        <v>0</v>
      </c>
      <c r="J31" s="36">
        <f>VLOOKUP(I31,Price!$A$1:$B$5,2,FALSE)</f>
        <v>492</v>
      </c>
      <c r="K31" s="44">
        <v>3</v>
      </c>
      <c r="L31" s="45" t="str">
        <f>VLOOKUP(K31,Source!$A$1:$B$5,2,FALSE)</f>
        <v>Obligatorisk kompensation</v>
      </c>
      <c r="M31" s="46">
        <v>1</v>
      </c>
      <c r="N31" s="45" t="str">
        <f>VLOOKUP(M31,Land!$A$1:$B$4,2,FALSE)</f>
        <v>Industriella företag</v>
      </c>
      <c r="O31" s="46">
        <v>0</v>
      </c>
      <c r="P31" s="45" t="str">
        <f>VLOOKUP(O31,Monitor!$A$1:$B$3,2,FALSE)</f>
        <v>Privat, oberoende granskning</v>
      </c>
      <c r="Q31" s="46">
        <v>1</v>
      </c>
      <c r="R31" s="47">
        <f>VLOOKUP(Q31,Price!$A$1:$B$5,2,FALSE)</f>
        <v>2460</v>
      </c>
    </row>
    <row r="32" spans="1:18" x14ac:dyDescent="0.2">
      <c r="A32" s="9">
        <v>31</v>
      </c>
      <c r="B32" s="12">
        <v>4</v>
      </c>
      <c r="C32" s="32">
        <v>0</v>
      </c>
      <c r="D32" s="23" t="str">
        <f>VLOOKUP(C32,Source!$A$1:$B$5,2,FALSE)</f>
        <v>Skattebetalning</v>
      </c>
      <c r="E32" s="21">
        <v>2</v>
      </c>
      <c r="F32" s="23" t="str">
        <f>VLOOKUP(E32,Land!$A$1:$B$4,2,FALSE)</f>
        <v>Offentlig mark</v>
      </c>
      <c r="G32" s="21">
        <v>1</v>
      </c>
      <c r="H32" s="24" t="str">
        <f>VLOOKUP(G32,Monitor!$A$1:$B$3,2,FALSE)</f>
        <v>Offentlig förvaltning</v>
      </c>
      <c r="I32" s="21">
        <v>3</v>
      </c>
      <c r="J32" s="36">
        <f>VLOOKUP(I32,Price!$A$1:$B$5,2,FALSE)</f>
        <v>7380</v>
      </c>
      <c r="K32" s="44">
        <v>0</v>
      </c>
      <c r="L32" s="45" t="str">
        <f>VLOOKUP(K32,Source!$A$1:$B$5,2,FALSE)</f>
        <v>Skattebetalning</v>
      </c>
      <c r="M32" s="46">
        <v>0</v>
      </c>
      <c r="N32" s="45" t="str">
        <f>VLOOKUP(M32,Land!$A$1:$B$4,2,FALSE)</f>
        <v>Småskaliga privata ägare</v>
      </c>
      <c r="O32" s="46">
        <v>0</v>
      </c>
      <c r="P32" s="45" t="str">
        <f>VLOOKUP(O32,Monitor!$A$1:$B$3,2,FALSE)</f>
        <v>Privat, oberoende granskning</v>
      </c>
      <c r="Q32" s="46">
        <v>1</v>
      </c>
      <c r="R32" s="47">
        <f>VLOOKUP(Q32,Price!$A$1:$B$5,2,FALSE)</f>
        <v>2460</v>
      </c>
    </row>
    <row r="33" spans="1:18" x14ac:dyDescent="0.2">
      <c r="A33" s="9">
        <v>32</v>
      </c>
      <c r="B33" s="13">
        <v>4</v>
      </c>
      <c r="C33" s="33">
        <v>1</v>
      </c>
      <c r="D33" s="26" t="str">
        <f>VLOOKUP(C33,Source!$A$1:$B$5,2,FALSE)</f>
        <v>Frivillig donation</v>
      </c>
      <c r="E33" s="25">
        <v>1</v>
      </c>
      <c r="F33" s="26" t="str">
        <f>VLOOKUP(E33,Land!$A$1:$B$4,2,FALSE)</f>
        <v>Industriella företag</v>
      </c>
      <c r="G33" s="25">
        <v>0</v>
      </c>
      <c r="H33" s="27" t="str">
        <f>VLOOKUP(G33,Monitor!$A$1:$B$3,2,FALSE)</f>
        <v>Privat, oberoende granskning</v>
      </c>
      <c r="I33" s="25">
        <v>2</v>
      </c>
      <c r="J33" s="37">
        <f>VLOOKUP(I33,Price!$A$1:$B$5,2,FALSE)</f>
        <v>4920</v>
      </c>
      <c r="K33" s="48">
        <v>1</v>
      </c>
      <c r="L33" s="49" t="str">
        <f>VLOOKUP(K33,Source!$A$1:$B$5,2,FALSE)</f>
        <v>Frivillig donation</v>
      </c>
      <c r="M33" s="50">
        <v>1</v>
      </c>
      <c r="N33" s="49" t="str">
        <f>VLOOKUP(M33,Land!$A$1:$B$4,2,FALSE)</f>
        <v>Industriella företag</v>
      </c>
      <c r="O33" s="50">
        <v>1</v>
      </c>
      <c r="P33" s="49" t="str">
        <f>VLOOKUP(O33,Monitor!$A$1:$B$3,2,FALSE)</f>
        <v>Offentlig förvaltning</v>
      </c>
      <c r="Q33" s="50">
        <v>0</v>
      </c>
      <c r="R33" s="51">
        <f>VLOOKUP(Q33,Price!$A$1:$B$5,2,FALSE)</f>
        <v>492</v>
      </c>
    </row>
    <row r="34" spans="1:18" x14ac:dyDescent="0.2">
      <c r="A34" s="9">
        <v>33</v>
      </c>
      <c r="B34" s="14">
        <v>5</v>
      </c>
      <c r="C34" s="28">
        <v>3</v>
      </c>
      <c r="D34" s="29" t="str">
        <f>VLOOKUP(C34,Source!$A$1:$B$5,2,FALSE)</f>
        <v>Obligatorisk kompensation</v>
      </c>
      <c r="E34" s="30">
        <v>2</v>
      </c>
      <c r="F34" s="29" t="str">
        <f>VLOOKUP(E34,Land!$A$1:$B$4,2,FALSE)</f>
        <v>Offentlig mark</v>
      </c>
      <c r="G34" s="30">
        <v>0</v>
      </c>
      <c r="H34" s="31" t="str">
        <f>VLOOKUP(G34,Monitor!$A$1:$B$3,2,FALSE)</f>
        <v>Privat, oberoende granskning</v>
      </c>
      <c r="I34" s="21">
        <v>2</v>
      </c>
      <c r="J34" s="38">
        <f>VLOOKUP(I34,Price!$A$1:$B$5,2,FALSE)</f>
        <v>4920</v>
      </c>
      <c r="K34" s="52">
        <v>0</v>
      </c>
      <c r="L34" s="53" t="str">
        <f>VLOOKUP(K34,Source!$A$1:$B$5,2,FALSE)</f>
        <v>Skattebetalning</v>
      </c>
      <c r="M34" s="54">
        <v>1</v>
      </c>
      <c r="N34" s="53" t="str">
        <f>VLOOKUP(M34,Land!$A$1:$B$4,2,FALSE)</f>
        <v>Industriella företag</v>
      </c>
      <c r="O34" s="54">
        <v>1</v>
      </c>
      <c r="P34" s="53" t="str">
        <f>VLOOKUP(O34,Monitor!$A$1:$B$3,2,FALSE)</f>
        <v>Offentlig förvaltning</v>
      </c>
      <c r="Q34" s="54">
        <v>2</v>
      </c>
      <c r="R34" s="55">
        <f>VLOOKUP(Q34,Price!$A$1:$B$5,2,FALSE)</f>
        <v>4920</v>
      </c>
    </row>
    <row r="35" spans="1:18" x14ac:dyDescent="0.2">
      <c r="A35" s="9">
        <v>34</v>
      </c>
      <c r="B35" s="12">
        <v>5</v>
      </c>
      <c r="C35" s="32">
        <v>1</v>
      </c>
      <c r="D35" s="23" t="str">
        <f>VLOOKUP(C35,Source!$A$1:$B$5,2,FALSE)</f>
        <v>Frivillig donation</v>
      </c>
      <c r="E35" s="21">
        <v>2</v>
      </c>
      <c r="F35" s="23" t="str">
        <f>VLOOKUP(E35,Land!$A$1:$B$4,2,FALSE)</f>
        <v>Offentlig mark</v>
      </c>
      <c r="G35" s="21">
        <v>0</v>
      </c>
      <c r="H35" s="24" t="str">
        <f>VLOOKUP(G35,Monitor!$A$1:$B$3,2,FALSE)</f>
        <v>Privat, oberoende granskning</v>
      </c>
      <c r="I35" s="21">
        <v>1</v>
      </c>
      <c r="J35" s="36">
        <f>VLOOKUP(I35,Price!$A$1:$B$5,2,FALSE)</f>
        <v>2460</v>
      </c>
      <c r="K35" s="44">
        <v>3</v>
      </c>
      <c r="L35" s="45" t="str">
        <f>VLOOKUP(K35,Source!$A$1:$B$5,2,FALSE)</f>
        <v>Obligatorisk kompensation</v>
      </c>
      <c r="M35" s="46">
        <v>0</v>
      </c>
      <c r="N35" s="45" t="str">
        <f>VLOOKUP(M35,Land!$A$1:$B$4,2,FALSE)</f>
        <v>Småskaliga privata ägare</v>
      </c>
      <c r="O35" s="46">
        <v>1</v>
      </c>
      <c r="P35" s="45" t="str">
        <f>VLOOKUP(O35,Monitor!$A$1:$B$3,2,FALSE)</f>
        <v>Offentlig förvaltning</v>
      </c>
      <c r="Q35" s="46">
        <v>1</v>
      </c>
      <c r="R35" s="47">
        <f>VLOOKUP(Q35,Price!$A$1:$B$5,2,FALSE)</f>
        <v>2460</v>
      </c>
    </row>
    <row r="36" spans="1:18" x14ac:dyDescent="0.2">
      <c r="A36" s="9">
        <v>35</v>
      </c>
      <c r="B36" s="12">
        <v>5</v>
      </c>
      <c r="C36" s="32">
        <v>1</v>
      </c>
      <c r="D36" s="23" t="str">
        <f>VLOOKUP(C36,Source!$A$1:$B$5,2,FALSE)</f>
        <v>Frivillig donation</v>
      </c>
      <c r="E36" s="21">
        <v>2</v>
      </c>
      <c r="F36" s="23" t="str">
        <f>VLOOKUP(E36,Land!$A$1:$B$4,2,FALSE)</f>
        <v>Offentlig mark</v>
      </c>
      <c r="G36" s="21">
        <v>1</v>
      </c>
      <c r="H36" s="24" t="str">
        <f>VLOOKUP(G36,Monitor!$A$1:$B$3,2,FALSE)</f>
        <v>Offentlig förvaltning</v>
      </c>
      <c r="I36" s="21">
        <v>1</v>
      </c>
      <c r="J36" s="36">
        <f>VLOOKUP(I36,Price!$A$1:$B$5,2,FALSE)</f>
        <v>2460</v>
      </c>
      <c r="K36" s="44">
        <v>0</v>
      </c>
      <c r="L36" s="45" t="str">
        <f>VLOOKUP(K36,Source!$A$1:$B$5,2,FALSE)</f>
        <v>Skattebetalning</v>
      </c>
      <c r="M36" s="46">
        <v>1</v>
      </c>
      <c r="N36" s="45" t="str">
        <f>VLOOKUP(M36,Land!$A$1:$B$4,2,FALSE)</f>
        <v>Industriella företag</v>
      </c>
      <c r="O36" s="46">
        <v>1</v>
      </c>
      <c r="P36" s="45" t="str">
        <f>VLOOKUP(O36,Monitor!$A$1:$B$3,2,FALSE)</f>
        <v>Offentlig förvaltning</v>
      </c>
      <c r="Q36" s="46">
        <v>0</v>
      </c>
      <c r="R36" s="47">
        <f>VLOOKUP(Q36,Price!$A$1:$B$5,2,FALSE)</f>
        <v>492</v>
      </c>
    </row>
    <row r="37" spans="1:18" x14ac:dyDescent="0.2">
      <c r="A37" s="9">
        <v>36</v>
      </c>
      <c r="B37" s="12">
        <v>5</v>
      </c>
      <c r="C37" s="32">
        <v>0</v>
      </c>
      <c r="D37" s="23" t="str">
        <f>VLOOKUP(C37,Source!$A$1:$B$5,2,FALSE)</f>
        <v>Skattebetalning</v>
      </c>
      <c r="E37" s="21">
        <v>0</v>
      </c>
      <c r="F37" s="23" t="str">
        <f>VLOOKUP(E37,Land!$A$1:$B$4,2,FALSE)</f>
        <v>Småskaliga privata ägare</v>
      </c>
      <c r="G37" s="21">
        <v>1</v>
      </c>
      <c r="H37" s="24" t="str">
        <f>VLOOKUP(G37,Monitor!$A$1:$B$3,2,FALSE)</f>
        <v>Offentlig förvaltning</v>
      </c>
      <c r="I37" s="21">
        <v>1</v>
      </c>
      <c r="J37" s="36">
        <f>VLOOKUP(I37,Price!$A$1:$B$5,2,FALSE)</f>
        <v>2460</v>
      </c>
      <c r="K37" s="44">
        <v>0</v>
      </c>
      <c r="L37" s="45" t="str">
        <f>VLOOKUP(K37,Source!$A$1:$B$5,2,FALSE)</f>
        <v>Skattebetalning</v>
      </c>
      <c r="M37" s="46">
        <v>0</v>
      </c>
      <c r="N37" s="45" t="str">
        <f>VLOOKUP(M37,Land!$A$1:$B$4,2,FALSE)</f>
        <v>Småskaliga privata ägare</v>
      </c>
      <c r="O37" s="46">
        <v>0</v>
      </c>
      <c r="P37" s="45" t="str">
        <f>VLOOKUP(O37,Monitor!$A$1:$B$3,2,FALSE)</f>
        <v>Privat, oberoende granskning</v>
      </c>
      <c r="Q37" s="46">
        <v>2</v>
      </c>
      <c r="R37" s="47">
        <f>VLOOKUP(Q37,Price!$A$1:$B$5,2,FALSE)</f>
        <v>4920</v>
      </c>
    </row>
    <row r="38" spans="1:18" x14ac:dyDescent="0.2">
      <c r="A38" s="9">
        <v>37</v>
      </c>
      <c r="B38" s="12">
        <v>5</v>
      </c>
      <c r="C38" s="32">
        <v>0</v>
      </c>
      <c r="D38" s="23" t="str">
        <f>VLOOKUP(C38,Source!$A$1:$B$5,2,FALSE)</f>
        <v>Skattebetalning</v>
      </c>
      <c r="E38" s="21">
        <v>1</v>
      </c>
      <c r="F38" s="23" t="str">
        <f>VLOOKUP(E38,Land!$A$1:$B$4,2,FALSE)</f>
        <v>Industriella företag</v>
      </c>
      <c r="G38" s="21">
        <v>0</v>
      </c>
      <c r="H38" s="24" t="str">
        <f>VLOOKUP(G38,Monitor!$A$1:$B$3,2,FALSE)</f>
        <v>Privat, oberoende granskning</v>
      </c>
      <c r="I38" s="21">
        <v>1</v>
      </c>
      <c r="J38" s="36">
        <f>VLOOKUP(I38,Price!$A$1:$B$5,2,FALSE)</f>
        <v>2460</v>
      </c>
      <c r="K38" s="44">
        <v>3</v>
      </c>
      <c r="L38" s="45" t="str">
        <f>VLOOKUP(K38,Source!$A$1:$B$5,2,FALSE)</f>
        <v>Obligatorisk kompensation</v>
      </c>
      <c r="M38" s="46">
        <v>2</v>
      </c>
      <c r="N38" s="45" t="str">
        <f>VLOOKUP(M38,Land!$A$1:$B$4,2,FALSE)</f>
        <v>Offentlig mark</v>
      </c>
      <c r="O38" s="46">
        <v>0</v>
      </c>
      <c r="P38" s="45" t="str">
        <f>VLOOKUP(O38,Monitor!$A$1:$B$3,2,FALSE)</f>
        <v>Privat, oberoende granskning</v>
      </c>
      <c r="Q38" s="46">
        <v>2</v>
      </c>
      <c r="R38" s="47">
        <f>VLOOKUP(Q38,Price!$A$1:$B$5,2,FALSE)</f>
        <v>4920</v>
      </c>
    </row>
    <row r="39" spans="1:18" x14ac:dyDescent="0.2">
      <c r="A39" s="9">
        <v>38</v>
      </c>
      <c r="B39" s="12">
        <v>5</v>
      </c>
      <c r="C39" s="32">
        <v>2</v>
      </c>
      <c r="D39" s="23" t="str">
        <f>VLOOKUP(C39,Source!$A$1:$B$5,2,FALSE)</f>
        <v>Marknadscertifiering</v>
      </c>
      <c r="E39" s="21">
        <v>0</v>
      </c>
      <c r="F39" s="23" t="str">
        <f>VLOOKUP(E39,Land!$A$1:$B$4,2,FALSE)</f>
        <v>Småskaliga privata ägare</v>
      </c>
      <c r="G39" s="21">
        <v>0</v>
      </c>
      <c r="H39" s="24" t="str">
        <f>VLOOKUP(G39,Monitor!$A$1:$B$3,2,FALSE)</f>
        <v>Privat, oberoende granskning</v>
      </c>
      <c r="I39" s="21">
        <v>1</v>
      </c>
      <c r="J39" s="36">
        <f>VLOOKUP(I39,Price!$A$1:$B$5,2,FALSE)</f>
        <v>2460</v>
      </c>
      <c r="K39" s="44">
        <v>0</v>
      </c>
      <c r="L39" s="45" t="str">
        <f>VLOOKUP(K39,Source!$A$1:$B$5,2,FALSE)</f>
        <v>Skattebetalning</v>
      </c>
      <c r="M39" s="46">
        <v>1</v>
      </c>
      <c r="N39" s="45" t="str">
        <f>VLOOKUP(M39,Land!$A$1:$B$4,2,FALSE)</f>
        <v>Industriella företag</v>
      </c>
      <c r="O39" s="46">
        <v>0</v>
      </c>
      <c r="P39" s="45" t="str">
        <f>VLOOKUP(O39,Monitor!$A$1:$B$3,2,FALSE)</f>
        <v>Privat, oberoende granskning</v>
      </c>
      <c r="Q39" s="46">
        <v>3</v>
      </c>
      <c r="R39" s="47">
        <f>VLOOKUP(Q39,Price!$A$1:$B$5,2,FALSE)</f>
        <v>7380</v>
      </c>
    </row>
    <row r="40" spans="1:18" x14ac:dyDescent="0.2">
      <c r="A40" s="9">
        <v>39</v>
      </c>
      <c r="B40" s="12">
        <v>5</v>
      </c>
      <c r="C40" s="32">
        <v>0</v>
      </c>
      <c r="D40" s="23" t="str">
        <f>VLOOKUP(C40,Source!$A$1:$B$5,2,FALSE)</f>
        <v>Skattebetalning</v>
      </c>
      <c r="E40" s="21">
        <v>0</v>
      </c>
      <c r="F40" s="23" t="str">
        <f>VLOOKUP(E40,Land!$A$1:$B$4,2,FALSE)</f>
        <v>Småskaliga privata ägare</v>
      </c>
      <c r="G40" s="21">
        <v>1</v>
      </c>
      <c r="H40" s="24" t="str">
        <f>VLOOKUP(G40,Monitor!$A$1:$B$3,2,FALSE)</f>
        <v>Offentlig förvaltning</v>
      </c>
      <c r="I40" s="21">
        <v>3</v>
      </c>
      <c r="J40" s="36">
        <f>VLOOKUP(I40,Price!$A$1:$B$5,2,FALSE)</f>
        <v>7380</v>
      </c>
      <c r="K40" s="44">
        <v>2</v>
      </c>
      <c r="L40" s="45" t="str">
        <f>VLOOKUP(K40,Source!$A$1:$B$5,2,FALSE)</f>
        <v>Marknadscertifiering</v>
      </c>
      <c r="M40" s="46">
        <v>2</v>
      </c>
      <c r="N40" s="45" t="str">
        <f>VLOOKUP(M40,Land!$A$1:$B$4,2,FALSE)</f>
        <v>Offentlig mark</v>
      </c>
      <c r="O40" s="46">
        <v>0</v>
      </c>
      <c r="P40" s="45" t="str">
        <f>VLOOKUP(O40,Monitor!$A$1:$B$3,2,FALSE)</f>
        <v>Privat, oberoende granskning</v>
      </c>
      <c r="Q40" s="46">
        <v>3</v>
      </c>
      <c r="R40" s="47">
        <f>VLOOKUP(Q40,Price!$A$1:$B$5,2,FALSE)</f>
        <v>7380</v>
      </c>
    </row>
    <row r="41" spans="1:18" x14ac:dyDescent="0.2">
      <c r="A41" s="9">
        <v>40</v>
      </c>
      <c r="B41" s="13">
        <v>5</v>
      </c>
      <c r="C41" s="33">
        <v>0</v>
      </c>
      <c r="D41" s="26" t="str">
        <f>VLOOKUP(C41,Source!$A$1:$B$5,2,FALSE)</f>
        <v>Skattebetalning</v>
      </c>
      <c r="E41" s="25">
        <v>0</v>
      </c>
      <c r="F41" s="26" t="str">
        <f>VLOOKUP(E41,Land!$A$1:$B$4,2,FALSE)</f>
        <v>Småskaliga privata ägare</v>
      </c>
      <c r="G41" s="25">
        <v>0</v>
      </c>
      <c r="H41" s="27" t="str">
        <f>VLOOKUP(G41,Monitor!$A$1:$B$3,2,FALSE)</f>
        <v>Privat, oberoende granskning</v>
      </c>
      <c r="I41" s="25">
        <v>3</v>
      </c>
      <c r="J41" s="37">
        <f>VLOOKUP(I41,Price!$A$1:$B$5,2,FALSE)</f>
        <v>7380</v>
      </c>
      <c r="K41" s="48">
        <v>2</v>
      </c>
      <c r="L41" s="49" t="str">
        <f>VLOOKUP(K41,Source!$A$1:$B$5,2,FALSE)</f>
        <v>Marknadscertifiering</v>
      </c>
      <c r="M41" s="50">
        <v>2</v>
      </c>
      <c r="N41" s="49" t="str">
        <f>VLOOKUP(M41,Land!$A$1:$B$4,2,FALSE)</f>
        <v>Offentlig mark</v>
      </c>
      <c r="O41" s="50">
        <v>0</v>
      </c>
      <c r="P41" s="49" t="str">
        <f>VLOOKUP(O41,Monitor!$A$1:$B$3,2,FALSE)</f>
        <v>Privat, oberoende granskning</v>
      </c>
      <c r="Q41" s="50">
        <v>1</v>
      </c>
      <c r="R41" s="51">
        <f>VLOOKUP(Q41,Price!$A$1:$B$5,2,FALSE)</f>
        <v>2460</v>
      </c>
    </row>
    <row r="42" spans="1:18" x14ac:dyDescent="0.2">
      <c r="A42" s="9">
        <v>41</v>
      </c>
      <c r="B42" s="14">
        <v>6</v>
      </c>
      <c r="C42" s="28">
        <v>3</v>
      </c>
      <c r="D42" s="29" t="str">
        <f>VLOOKUP(C42,Source!$A$1:$B$5,2,FALSE)</f>
        <v>Obligatorisk kompensation</v>
      </c>
      <c r="E42" s="30">
        <v>1</v>
      </c>
      <c r="F42" s="29" t="str">
        <f>VLOOKUP(E42,Land!$A$1:$B$4,2,FALSE)</f>
        <v>Industriella företag</v>
      </c>
      <c r="G42" s="30">
        <v>1</v>
      </c>
      <c r="H42" s="31" t="str">
        <f>VLOOKUP(G42,Monitor!$A$1:$B$3,2,FALSE)</f>
        <v>Offentlig förvaltning</v>
      </c>
      <c r="I42" s="21">
        <v>0</v>
      </c>
      <c r="J42" s="38">
        <f>VLOOKUP(I42,Price!$A$1:$B$5,2,FALSE)</f>
        <v>492</v>
      </c>
      <c r="K42" s="52">
        <v>3</v>
      </c>
      <c r="L42" s="53" t="str">
        <f>VLOOKUP(K42,Source!$A$1:$B$5,2,FALSE)</f>
        <v>Obligatorisk kompensation</v>
      </c>
      <c r="M42" s="54">
        <v>2</v>
      </c>
      <c r="N42" s="53" t="str">
        <f>VLOOKUP(M42,Land!$A$1:$B$4,2,FALSE)</f>
        <v>Offentlig mark</v>
      </c>
      <c r="O42" s="54">
        <v>1</v>
      </c>
      <c r="P42" s="53" t="str">
        <f>VLOOKUP(O42,Monitor!$A$1:$B$3,2,FALSE)</f>
        <v>Offentlig förvaltning</v>
      </c>
      <c r="Q42" s="54">
        <v>0</v>
      </c>
      <c r="R42" s="55">
        <f>VLOOKUP(Q42,Price!$A$1:$B$5,2,FALSE)</f>
        <v>492</v>
      </c>
    </row>
    <row r="43" spans="1:18" x14ac:dyDescent="0.2">
      <c r="A43" s="9">
        <v>42</v>
      </c>
      <c r="B43" s="12">
        <v>6</v>
      </c>
      <c r="C43" s="32">
        <v>3</v>
      </c>
      <c r="D43" s="23" t="str">
        <f>VLOOKUP(C43,Source!$A$1:$B$5,2,FALSE)</f>
        <v>Obligatorisk kompensation</v>
      </c>
      <c r="E43" s="21">
        <v>1</v>
      </c>
      <c r="F43" s="23" t="str">
        <f>VLOOKUP(E43,Land!$A$1:$B$4,2,FALSE)</f>
        <v>Industriella företag</v>
      </c>
      <c r="G43" s="21">
        <v>0</v>
      </c>
      <c r="H43" s="24" t="str">
        <f>VLOOKUP(G43,Monitor!$A$1:$B$3,2,FALSE)</f>
        <v>Privat, oberoende granskning</v>
      </c>
      <c r="I43" s="21">
        <v>0</v>
      </c>
      <c r="J43" s="36">
        <f>VLOOKUP(I43,Price!$A$1:$B$5,2,FALSE)</f>
        <v>492</v>
      </c>
      <c r="K43" s="44">
        <v>3</v>
      </c>
      <c r="L43" s="45" t="str">
        <f>VLOOKUP(K43,Source!$A$1:$B$5,2,FALSE)</f>
        <v>Obligatorisk kompensation</v>
      </c>
      <c r="M43" s="46">
        <v>0</v>
      </c>
      <c r="N43" s="45" t="str">
        <f>VLOOKUP(M43,Land!$A$1:$B$4,2,FALSE)</f>
        <v>Småskaliga privata ägare</v>
      </c>
      <c r="O43" s="46">
        <v>1</v>
      </c>
      <c r="P43" s="45" t="str">
        <f>VLOOKUP(O43,Monitor!$A$1:$B$3,2,FALSE)</f>
        <v>Offentlig förvaltning</v>
      </c>
      <c r="Q43" s="46">
        <v>1</v>
      </c>
      <c r="R43" s="47">
        <f>VLOOKUP(Q43,Price!$A$1:$B$5,2,FALSE)</f>
        <v>2460</v>
      </c>
    </row>
    <row r="44" spans="1:18" x14ac:dyDescent="0.2">
      <c r="A44" s="9">
        <v>43</v>
      </c>
      <c r="B44" s="12">
        <v>6</v>
      </c>
      <c r="C44" s="32">
        <v>3</v>
      </c>
      <c r="D44" s="23" t="str">
        <f>VLOOKUP(C44,Source!$A$1:$B$5,2,FALSE)</f>
        <v>Obligatorisk kompensation</v>
      </c>
      <c r="E44" s="21">
        <v>2</v>
      </c>
      <c r="F44" s="23" t="str">
        <f>VLOOKUP(E44,Land!$A$1:$B$4,2,FALSE)</f>
        <v>Offentlig mark</v>
      </c>
      <c r="G44" s="21">
        <v>1</v>
      </c>
      <c r="H44" s="24" t="str">
        <f>VLOOKUP(G44,Monitor!$A$1:$B$3,2,FALSE)</f>
        <v>Offentlig förvaltning</v>
      </c>
      <c r="I44" s="21">
        <v>0</v>
      </c>
      <c r="J44" s="36">
        <f>VLOOKUP(I44,Price!$A$1:$B$5,2,FALSE)</f>
        <v>492</v>
      </c>
      <c r="K44" s="44">
        <v>2</v>
      </c>
      <c r="L44" s="45" t="str">
        <f>VLOOKUP(K44,Source!$A$1:$B$5,2,FALSE)</f>
        <v>Marknadscertifiering</v>
      </c>
      <c r="M44" s="46">
        <v>0</v>
      </c>
      <c r="N44" s="45" t="str">
        <f>VLOOKUP(M44,Land!$A$1:$B$4,2,FALSE)</f>
        <v>Småskaliga privata ägare</v>
      </c>
      <c r="O44" s="46">
        <v>0</v>
      </c>
      <c r="P44" s="45" t="str">
        <f>VLOOKUP(O44,Monitor!$A$1:$B$3,2,FALSE)</f>
        <v>Privat, oberoende granskning</v>
      </c>
      <c r="Q44" s="46">
        <v>0</v>
      </c>
      <c r="R44" s="47">
        <f>VLOOKUP(Q44,Price!$A$1:$B$5,2,FALSE)</f>
        <v>492</v>
      </c>
    </row>
    <row r="45" spans="1:18" x14ac:dyDescent="0.2">
      <c r="A45" s="9">
        <v>44</v>
      </c>
      <c r="B45" s="12">
        <v>6</v>
      </c>
      <c r="C45" s="32">
        <v>3</v>
      </c>
      <c r="D45" s="23" t="str">
        <f>VLOOKUP(C45,Source!$A$1:$B$5,2,FALSE)</f>
        <v>Obligatorisk kompensation</v>
      </c>
      <c r="E45" s="21">
        <v>1</v>
      </c>
      <c r="F45" s="23" t="str">
        <f>VLOOKUP(E45,Land!$A$1:$B$4,2,FALSE)</f>
        <v>Industriella företag</v>
      </c>
      <c r="G45" s="21">
        <v>1</v>
      </c>
      <c r="H45" s="24" t="str">
        <f>VLOOKUP(G45,Monitor!$A$1:$B$3,2,FALSE)</f>
        <v>Offentlig förvaltning</v>
      </c>
      <c r="I45" s="21">
        <v>3</v>
      </c>
      <c r="J45" s="36">
        <f>VLOOKUP(I45,Price!$A$1:$B$5,2,FALSE)</f>
        <v>7380</v>
      </c>
      <c r="K45" s="44">
        <v>3</v>
      </c>
      <c r="L45" s="45" t="str">
        <f>VLOOKUP(K45,Source!$A$1:$B$5,2,FALSE)</f>
        <v>Obligatorisk kompensation</v>
      </c>
      <c r="M45" s="46">
        <v>2</v>
      </c>
      <c r="N45" s="45" t="str">
        <f>VLOOKUP(M45,Land!$A$1:$B$4,2,FALSE)</f>
        <v>Offentlig mark</v>
      </c>
      <c r="O45" s="46">
        <v>1</v>
      </c>
      <c r="P45" s="45" t="str">
        <f>VLOOKUP(O45,Monitor!$A$1:$B$3,2,FALSE)</f>
        <v>Offentlig förvaltning</v>
      </c>
      <c r="Q45" s="46">
        <v>3</v>
      </c>
      <c r="R45" s="47">
        <f>VLOOKUP(Q45,Price!$A$1:$B$5,2,FALSE)</f>
        <v>7380</v>
      </c>
    </row>
    <row r="46" spans="1:18" x14ac:dyDescent="0.2">
      <c r="A46" s="9">
        <v>45</v>
      </c>
      <c r="B46" s="12">
        <v>6</v>
      </c>
      <c r="C46" s="32">
        <v>0</v>
      </c>
      <c r="D46" s="23" t="str">
        <f>VLOOKUP(C46,Source!$A$1:$B$5,2,FALSE)</f>
        <v>Skattebetalning</v>
      </c>
      <c r="E46" s="21">
        <v>1</v>
      </c>
      <c r="F46" s="23" t="str">
        <f>VLOOKUP(E46,Land!$A$1:$B$4,2,FALSE)</f>
        <v>Industriella företag</v>
      </c>
      <c r="G46" s="21">
        <v>0</v>
      </c>
      <c r="H46" s="24" t="str">
        <f>VLOOKUP(G46,Monitor!$A$1:$B$3,2,FALSE)</f>
        <v>Privat, oberoende granskning</v>
      </c>
      <c r="I46" s="21">
        <v>2</v>
      </c>
      <c r="J46" s="36">
        <f>VLOOKUP(I46,Price!$A$1:$B$5,2,FALSE)</f>
        <v>4920</v>
      </c>
      <c r="K46" s="44">
        <v>0</v>
      </c>
      <c r="L46" s="45" t="str">
        <f>VLOOKUP(K46,Source!$A$1:$B$5,2,FALSE)</f>
        <v>Skattebetalning</v>
      </c>
      <c r="M46" s="46">
        <v>0</v>
      </c>
      <c r="N46" s="45" t="str">
        <f>VLOOKUP(M46,Land!$A$1:$B$4,2,FALSE)</f>
        <v>Småskaliga privata ägare</v>
      </c>
      <c r="O46" s="46">
        <v>1</v>
      </c>
      <c r="P46" s="45" t="str">
        <f>VLOOKUP(O46,Monitor!$A$1:$B$3,2,FALSE)</f>
        <v>Offentlig förvaltning</v>
      </c>
      <c r="Q46" s="46">
        <v>1</v>
      </c>
      <c r="R46" s="47">
        <f>VLOOKUP(Q46,Price!$A$1:$B$5,2,FALSE)</f>
        <v>2460</v>
      </c>
    </row>
    <row r="47" spans="1:18" x14ac:dyDescent="0.2">
      <c r="A47" s="9">
        <v>46</v>
      </c>
      <c r="B47" s="12">
        <v>6</v>
      </c>
      <c r="C47" s="32">
        <v>2</v>
      </c>
      <c r="D47" s="23" t="str">
        <f>VLOOKUP(C47,Source!$A$1:$B$5,2,FALSE)</f>
        <v>Marknadscertifiering</v>
      </c>
      <c r="E47" s="21">
        <v>1</v>
      </c>
      <c r="F47" s="23" t="str">
        <f>VLOOKUP(E47,Land!$A$1:$B$4,2,FALSE)</f>
        <v>Industriella företag</v>
      </c>
      <c r="G47" s="21">
        <v>1</v>
      </c>
      <c r="H47" s="24" t="str">
        <f>VLOOKUP(G47,Monitor!$A$1:$B$3,2,FALSE)</f>
        <v>Offentlig förvaltning</v>
      </c>
      <c r="I47" s="21">
        <v>1</v>
      </c>
      <c r="J47" s="36">
        <f>VLOOKUP(I47,Price!$A$1:$B$5,2,FALSE)</f>
        <v>2460</v>
      </c>
      <c r="K47" s="44">
        <v>3</v>
      </c>
      <c r="L47" s="45" t="str">
        <f>VLOOKUP(K47,Source!$A$1:$B$5,2,FALSE)</f>
        <v>Obligatorisk kompensation</v>
      </c>
      <c r="M47" s="46">
        <v>0</v>
      </c>
      <c r="N47" s="45" t="str">
        <f>VLOOKUP(M47,Land!$A$1:$B$4,2,FALSE)</f>
        <v>Småskaliga privata ägare</v>
      </c>
      <c r="O47" s="46">
        <v>1</v>
      </c>
      <c r="P47" s="45" t="str">
        <f>VLOOKUP(O47,Monitor!$A$1:$B$3,2,FALSE)</f>
        <v>Offentlig förvaltning</v>
      </c>
      <c r="Q47" s="46">
        <v>0</v>
      </c>
      <c r="R47" s="47">
        <f>VLOOKUP(Q47,Price!$A$1:$B$5,2,FALSE)</f>
        <v>492</v>
      </c>
    </row>
    <row r="48" spans="1:18" x14ac:dyDescent="0.2">
      <c r="A48" s="9">
        <v>47</v>
      </c>
      <c r="B48" s="12">
        <v>6</v>
      </c>
      <c r="C48" s="32">
        <v>0</v>
      </c>
      <c r="D48" s="23" t="str">
        <f>VLOOKUP(C48,Source!$A$1:$B$5,2,FALSE)</f>
        <v>Skattebetalning</v>
      </c>
      <c r="E48" s="21">
        <v>0</v>
      </c>
      <c r="F48" s="23" t="str">
        <f>VLOOKUP(E48,Land!$A$1:$B$4,2,FALSE)</f>
        <v>Småskaliga privata ägare</v>
      </c>
      <c r="G48" s="21">
        <v>0</v>
      </c>
      <c r="H48" s="24" t="str">
        <f>VLOOKUP(G48,Monitor!$A$1:$B$3,2,FALSE)</f>
        <v>Privat, oberoende granskning</v>
      </c>
      <c r="I48" s="21">
        <v>3</v>
      </c>
      <c r="J48" s="36">
        <f>VLOOKUP(I48,Price!$A$1:$B$5,2,FALSE)</f>
        <v>7380</v>
      </c>
      <c r="K48" s="44">
        <v>3</v>
      </c>
      <c r="L48" s="45" t="str">
        <f>VLOOKUP(K48,Source!$A$1:$B$5,2,FALSE)</f>
        <v>Obligatorisk kompensation</v>
      </c>
      <c r="M48" s="46">
        <v>1</v>
      </c>
      <c r="N48" s="45" t="str">
        <f>VLOOKUP(M48,Land!$A$1:$B$4,2,FALSE)</f>
        <v>Industriella företag</v>
      </c>
      <c r="O48" s="46">
        <v>1</v>
      </c>
      <c r="P48" s="45" t="str">
        <f>VLOOKUP(O48,Monitor!$A$1:$B$3,2,FALSE)</f>
        <v>Offentlig förvaltning</v>
      </c>
      <c r="Q48" s="46">
        <v>1</v>
      </c>
      <c r="R48" s="47">
        <f>VLOOKUP(Q48,Price!$A$1:$B$5,2,FALSE)</f>
        <v>2460</v>
      </c>
    </row>
    <row r="49" spans="1:18" x14ac:dyDescent="0.2">
      <c r="A49" s="9">
        <v>48</v>
      </c>
      <c r="B49" s="13">
        <v>6</v>
      </c>
      <c r="C49" s="33">
        <v>1</v>
      </c>
      <c r="D49" s="26" t="str">
        <f>VLOOKUP(C49,Source!$A$1:$B$5,2,FALSE)</f>
        <v>Frivillig donation</v>
      </c>
      <c r="E49" s="25">
        <v>0</v>
      </c>
      <c r="F49" s="26" t="str">
        <f>VLOOKUP(E49,Land!$A$1:$B$4,2,FALSE)</f>
        <v>Småskaliga privata ägare</v>
      </c>
      <c r="G49" s="25">
        <v>1</v>
      </c>
      <c r="H49" s="27" t="str">
        <f>VLOOKUP(G49,Monitor!$A$1:$B$3,2,FALSE)</f>
        <v>Offentlig förvaltning</v>
      </c>
      <c r="I49" s="25">
        <v>1</v>
      </c>
      <c r="J49" s="37">
        <f>VLOOKUP(I49,Price!$A$1:$B$5,2,FALSE)</f>
        <v>2460</v>
      </c>
      <c r="K49" s="48">
        <v>3</v>
      </c>
      <c r="L49" s="49" t="str">
        <f>VLOOKUP(K49,Source!$A$1:$B$5,2,FALSE)</f>
        <v>Obligatorisk kompensation</v>
      </c>
      <c r="M49" s="50">
        <v>2</v>
      </c>
      <c r="N49" s="49" t="str">
        <f>VLOOKUP(M49,Land!$A$1:$B$4,2,FALSE)</f>
        <v>Offentlig mark</v>
      </c>
      <c r="O49" s="50">
        <v>0</v>
      </c>
      <c r="P49" s="49" t="str">
        <f>VLOOKUP(O49,Monitor!$A$1:$B$3,2,FALSE)</f>
        <v>Privat, oberoende granskning</v>
      </c>
      <c r="Q49" s="50">
        <v>2</v>
      </c>
      <c r="R49" s="51">
        <f>VLOOKUP(Q49,Price!$A$1:$B$5,2,FALSE)</f>
        <v>4920</v>
      </c>
    </row>
    <row r="50" spans="1:18" x14ac:dyDescent="0.2">
      <c r="A50" s="9">
        <v>49</v>
      </c>
      <c r="B50" s="14">
        <v>7</v>
      </c>
      <c r="C50" s="28">
        <v>2</v>
      </c>
      <c r="D50" s="29" t="str">
        <f>VLOOKUP(C50,Source!$A$1:$B$5,2,FALSE)</f>
        <v>Marknadscertifiering</v>
      </c>
      <c r="E50" s="30">
        <v>2</v>
      </c>
      <c r="F50" s="29" t="str">
        <f>VLOOKUP(E50,Land!$A$1:$B$4,2,FALSE)</f>
        <v>Offentlig mark</v>
      </c>
      <c r="G50" s="30">
        <v>0</v>
      </c>
      <c r="H50" s="31" t="str">
        <f>VLOOKUP(G50,Monitor!$A$1:$B$3,2,FALSE)</f>
        <v>Privat, oberoende granskning</v>
      </c>
      <c r="I50" s="21">
        <v>2</v>
      </c>
      <c r="J50" s="38">
        <f>VLOOKUP(I50,Price!$A$1:$B$5,2,FALSE)</f>
        <v>4920</v>
      </c>
      <c r="K50" s="52">
        <v>1</v>
      </c>
      <c r="L50" s="53" t="str">
        <f>VLOOKUP(K50,Source!$A$1:$B$5,2,FALSE)</f>
        <v>Frivillig donation</v>
      </c>
      <c r="M50" s="54">
        <v>2</v>
      </c>
      <c r="N50" s="53" t="str">
        <f>VLOOKUP(M50,Land!$A$1:$B$4,2,FALSE)</f>
        <v>Offentlig mark</v>
      </c>
      <c r="O50" s="54">
        <v>1</v>
      </c>
      <c r="P50" s="53" t="str">
        <f>VLOOKUP(O50,Monitor!$A$1:$B$3,2,FALSE)</f>
        <v>Offentlig förvaltning</v>
      </c>
      <c r="Q50" s="54">
        <v>2</v>
      </c>
      <c r="R50" s="55">
        <f>VLOOKUP(Q50,Price!$A$1:$B$5,2,FALSE)</f>
        <v>4920</v>
      </c>
    </row>
    <row r="51" spans="1:18" x14ac:dyDescent="0.2">
      <c r="A51" s="9">
        <v>50</v>
      </c>
      <c r="B51" s="12">
        <v>7</v>
      </c>
      <c r="C51" s="32">
        <v>2</v>
      </c>
      <c r="D51" s="23" t="str">
        <f>VLOOKUP(C51,Source!$A$1:$B$5,2,FALSE)</f>
        <v>Marknadscertifiering</v>
      </c>
      <c r="E51" s="21">
        <v>1</v>
      </c>
      <c r="F51" s="23" t="str">
        <f>VLOOKUP(E51,Land!$A$1:$B$4,2,FALSE)</f>
        <v>Industriella företag</v>
      </c>
      <c r="G51" s="21">
        <v>0</v>
      </c>
      <c r="H51" s="24" t="str">
        <f>VLOOKUP(G51,Monitor!$A$1:$B$3,2,FALSE)</f>
        <v>Privat, oberoende granskning</v>
      </c>
      <c r="I51" s="21">
        <v>3</v>
      </c>
      <c r="J51" s="36">
        <f>VLOOKUP(I51,Price!$A$1:$B$5,2,FALSE)</f>
        <v>7380</v>
      </c>
      <c r="K51" s="44">
        <v>3</v>
      </c>
      <c r="L51" s="45" t="str">
        <f>VLOOKUP(K51,Source!$A$1:$B$5,2,FALSE)</f>
        <v>Obligatorisk kompensation</v>
      </c>
      <c r="M51" s="46">
        <v>0</v>
      </c>
      <c r="N51" s="45" t="str">
        <f>VLOOKUP(M51,Land!$A$1:$B$4,2,FALSE)</f>
        <v>Småskaliga privata ägare</v>
      </c>
      <c r="O51" s="46">
        <v>0</v>
      </c>
      <c r="P51" s="45" t="str">
        <f>VLOOKUP(O51,Monitor!$A$1:$B$3,2,FALSE)</f>
        <v>Privat, oberoende granskning</v>
      </c>
      <c r="Q51" s="46">
        <v>1</v>
      </c>
      <c r="R51" s="47">
        <f>VLOOKUP(Q51,Price!$A$1:$B$5,2,FALSE)</f>
        <v>2460</v>
      </c>
    </row>
    <row r="52" spans="1:18" x14ac:dyDescent="0.2">
      <c r="A52" s="9">
        <v>51</v>
      </c>
      <c r="B52" s="12">
        <v>7</v>
      </c>
      <c r="C52" s="32">
        <v>1</v>
      </c>
      <c r="D52" s="23" t="str">
        <f>VLOOKUP(C52,Source!$A$1:$B$5,2,FALSE)</f>
        <v>Frivillig donation</v>
      </c>
      <c r="E52" s="21">
        <v>0</v>
      </c>
      <c r="F52" s="23" t="str">
        <f>VLOOKUP(E52,Land!$A$1:$B$4,2,FALSE)</f>
        <v>Småskaliga privata ägare</v>
      </c>
      <c r="G52" s="21">
        <v>0</v>
      </c>
      <c r="H52" s="24" t="str">
        <f>VLOOKUP(G52,Monitor!$A$1:$B$3,2,FALSE)</f>
        <v>Privat, oberoende granskning</v>
      </c>
      <c r="I52" s="21">
        <v>0</v>
      </c>
      <c r="J52" s="36">
        <f>VLOOKUP(I52,Price!$A$1:$B$5,2,FALSE)</f>
        <v>492</v>
      </c>
      <c r="K52" s="44">
        <v>0</v>
      </c>
      <c r="L52" s="45" t="str">
        <f>VLOOKUP(K52,Source!$A$1:$B$5,2,FALSE)</f>
        <v>Skattebetalning</v>
      </c>
      <c r="M52" s="46">
        <v>0</v>
      </c>
      <c r="N52" s="45" t="str">
        <f>VLOOKUP(M52,Land!$A$1:$B$4,2,FALSE)</f>
        <v>Småskaliga privata ägare</v>
      </c>
      <c r="O52" s="46">
        <v>0</v>
      </c>
      <c r="P52" s="45" t="str">
        <f>VLOOKUP(O52,Monitor!$A$1:$B$3,2,FALSE)</f>
        <v>Privat, oberoende granskning</v>
      </c>
      <c r="Q52" s="46">
        <v>0</v>
      </c>
      <c r="R52" s="47">
        <f>VLOOKUP(Q52,Price!$A$1:$B$5,2,FALSE)</f>
        <v>492</v>
      </c>
    </row>
    <row r="53" spans="1:18" x14ac:dyDescent="0.2">
      <c r="A53" s="9">
        <v>52</v>
      </c>
      <c r="B53" s="12">
        <v>7</v>
      </c>
      <c r="C53" s="32">
        <v>3</v>
      </c>
      <c r="D53" s="23" t="str">
        <f>VLOOKUP(C53,Source!$A$1:$B$5,2,FALSE)</f>
        <v>Obligatorisk kompensation</v>
      </c>
      <c r="E53" s="21">
        <v>1</v>
      </c>
      <c r="F53" s="23" t="str">
        <f>VLOOKUP(E53,Land!$A$1:$B$4,2,FALSE)</f>
        <v>Industriella företag</v>
      </c>
      <c r="G53" s="21">
        <v>1</v>
      </c>
      <c r="H53" s="24" t="str">
        <f>VLOOKUP(G53,Monitor!$A$1:$B$3,2,FALSE)</f>
        <v>Offentlig förvaltning</v>
      </c>
      <c r="I53" s="21">
        <v>0</v>
      </c>
      <c r="J53" s="36">
        <f>VLOOKUP(I53,Price!$A$1:$B$5,2,FALSE)</f>
        <v>492</v>
      </c>
      <c r="K53" s="44">
        <v>2</v>
      </c>
      <c r="L53" s="45" t="str">
        <f>VLOOKUP(K53,Source!$A$1:$B$5,2,FALSE)</f>
        <v>Marknadscertifiering</v>
      </c>
      <c r="M53" s="46">
        <v>1</v>
      </c>
      <c r="N53" s="45" t="str">
        <f>VLOOKUP(M53,Land!$A$1:$B$4,2,FALSE)</f>
        <v>Industriella företag</v>
      </c>
      <c r="O53" s="46">
        <v>1</v>
      </c>
      <c r="P53" s="45" t="str">
        <f>VLOOKUP(O53,Monitor!$A$1:$B$3,2,FALSE)</f>
        <v>Offentlig förvaltning</v>
      </c>
      <c r="Q53" s="46">
        <v>3</v>
      </c>
      <c r="R53" s="47">
        <f>VLOOKUP(Q53,Price!$A$1:$B$5,2,FALSE)</f>
        <v>7380</v>
      </c>
    </row>
    <row r="54" spans="1:18" x14ac:dyDescent="0.2">
      <c r="A54" s="9">
        <v>53</v>
      </c>
      <c r="B54" s="12">
        <v>7</v>
      </c>
      <c r="C54" s="32">
        <v>1</v>
      </c>
      <c r="D54" s="23" t="str">
        <f>VLOOKUP(C54,Source!$A$1:$B$5,2,FALSE)</f>
        <v>Frivillig donation</v>
      </c>
      <c r="E54" s="21">
        <v>1</v>
      </c>
      <c r="F54" s="23" t="str">
        <f>VLOOKUP(E54,Land!$A$1:$B$4,2,FALSE)</f>
        <v>Industriella företag</v>
      </c>
      <c r="G54" s="21">
        <v>1</v>
      </c>
      <c r="H54" s="24" t="str">
        <f>VLOOKUP(G54,Monitor!$A$1:$B$3,2,FALSE)</f>
        <v>Offentlig förvaltning</v>
      </c>
      <c r="I54" s="21">
        <v>3</v>
      </c>
      <c r="J54" s="36">
        <f>VLOOKUP(I54,Price!$A$1:$B$5,2,FALSE)</f>
        <v>7380</v>
      </c>
      <c r="K54" s="44">
        <v>1</v>
      </c>
      <c r="L54" s="45" t="str">
        <f>VLOOKUP(K54,Source!$A$1:$B$5,2,FALSE)</f>
        <v>Frivillig donation</v>
      </c>
      <c r="M54" s="46">
        <v>2</v>
      </c>
      <c r="N54" s="45" t="str">
        <f>VLOOKUP(M54,Land!$A$1:$B$4,2,FALSE)</f>
        <v>Offentlig mark</v>
      </c>
      <c r="O54" s="46">
        <v>1</v>
      </c>
      <c r="P54" s="45" t="str">
        <f>VLOOKUP(O54,Monitor!$A$1:$B$3,2,FALSE)</f>
        <v>Offentlig förvaltning</v>
      </c>
      <c r="Q54" s="46">
        <v>0</v>
      </c>
      <c r="R54" s="47">
        <f>VLOOKUP(Q54,Price!$A$1:$B$5,2,FALSE)</f>
        <v>492</v>
      </c>
    </row>
    <row r="55" spans="1:18" x14ac:dyDescent="0.2">
      <c r="A55" s="9">
        <v>54</v>
      </c>
      <c r="B55" s="12">
        <v>7</v>
      </c>
      <c r="C55" s="32">
        <v>2</v>
      </c>
      <c r="D55" s="23" t="str">
        <f>VLOOKUP(C55,Source!$A$1:$B$5,2,FALSE)</f>
        <v>Marknadscertifiering</v>
      </c>
      <c r="E55" s="21">
        <v>0</v>
      </c>
      <c r="F55" s="23" t="str">
        <f>VLOOKUP(E55,Land!$A$1:$B$4,2,FALSE)</f>
        <v>Småskaliga privata ägare</v>
      </c>
      <c r="G55" s="21">
        <v>1</v>
      </c>
      <c r="H55" s="24" t="str">
        <f>VLOOKUP(G55,Monitor!$A$1:$B$3,2,FALSE)</f>
        <v>Offentlig förvaltning</v>
      </c>
      <c r="I55" s="21">
        <v>3</v>
      </c>
      <c r="J55" s="36">
        <f>VLOOKUP(I55,Price!$A$1:$B$5,2,FALSE)</f>
        <v>7380</v>
      </c>
      <c r="K55" s="44">
        <v>0</v>
      </c>
      <c r="L55" s="45" t="str">
        <f>VLOOKUP(K55,Source!$A$1:$B$5,2,FALSE)</f>
        <v>Skattebetalning</v>
      </c>
      <c r="M55" s="46">
        <v>0</v>
      </c>
      <c r="N55" s="45" t="str">
        <f>VLOOKUP(M55,Land!$A$1:$B$4,2,FALSE)</f>
        <v>Småskaliga privata ägare</v>
      </c>
      <c r="O55" s="46">
        <v>0</v>
      </c>
      <c r="P55" s="45" t="str">
        <f>VLOOKUP(O55,Monitor!$A$1:$B$3,2,FALSE)</f>
        <v>Privat, oberoende granskning</v>
      </c>
      <c r="Q55" s="46">
        <v>1</v>
      </c>
      <c r="R55" s="47">
        <f>VLOOKUP(Q55,Price!$A$1:$B$5,2,FALSE)</f>
        <v>2460</v>
      </c>
    </row>
    <row r="56" spans="1:18" x14ac:dyDescent="0.2">
      <c r="A56" s="9">
        <v>55</v>
      </c>
      <c r="B56" s="12">
        <v>7</v>
      </c>
      <c r="C56" s="32">
        <v>1</v>
      </c>
      <c r="D56" s="23" t="str">
        <f>VLOOKUP(C56,Source!$A$1:$B$5,2,FALSE)</f>
        <v>Frivillig donation</v>
      </c>
      <c r="E56" s="21">
        <v>2</v>
      </c>
      <c r="F56" s="23" t="str">
        <f>VLOOKUP(E56,Land!$A$1:$B$4,2,FALSE)</f>
        <v>Offentlig mark</v>
      </c>
      <c r="G56" s="21">
        <v>1</v>
      </c>
      <c r="H56" s="24" t="str">
        <f>VLOOKUP(G56,Monitor!$A$1:$B$3,2,FALSE)</f>
        <v>Offentlig förvaltning</v>
      </c>
      <c r="I56" s="21">
        <v>2</v>
      </c>
      <c r="J56" s="36">
        <f>VLOOKUP(I56,Price!$A$1:$B$5,2,FALSE)</f>
        <v>4920</v>
      </c>
      <c r="K56" s="44">
        <v>0</v>
      </c>
      <c r="L56" s="45" t="str">
        <f>VLOOKUP(K56,Source!$A$1:$B$5,2,FALSE)</f>
        <v>Skattebetalning</v>
      </c>
      <c r="M56" s="46">
        <v>0</v>
      </c>
      <c r="N56" s="45" t="str">
        <f>VLOOKUP(M56,Land!$A$1:$B$4,2,FALSE)</f>
        <v>Småskaliga privata ägare</v>
      </c>
      <c r="O56" s="46">
        <v>0</v>
      </c>
      <c r="P56" s="45" t="str">
        <f>VLOOKUP(O56,Monitor!$A$1:$B$3,2,FALSE)</f>
        <v>Privat, oberoende granskning</v>
      </c>
      <c r="Q56" s="46">
        <v>1</v>
      </c>
      <c r="R56" s="47">
        <f>VLOOKUP(Q56,Price!$A$1:$B$5,2,FALSE)</f>
        <v>2460</v>
      </c>
    </row>
    <row r="57" spans="1:18" x14ac:dyDescent="0.2">
      <c r="A57" s="9">
        <v>56</v>
      </c>
      <c r="B57" s="13">
        <v>7</v>
      </c>
      <c r="C57" s="33">
        <v>1</v>
      </c>
      <c r="D57" s="26" t="str">
        <f>VLOOKUP(C57,Source!$A$1:$B$5,2,FALSE)</f>
        <v>Frivillig donation</v>
      </c>
      <c r="E57" s="25">
        <v>2</v>
      </c>
      <c r="F57" s="26" t="str">
        <f>VLOOKUP(E57,Land!$A$1:$B$4,2,FALSE)</f>
        <v>Offentlig mark</v>
      </c>
      <c r="G57" s="25">
        <v>0</v>
      </c>
      <c r="H57" s="27" t="str">
        <f>VLOOKUP(G57,Monitor!$A$1:$B$3,2,FALSE)</f>
        <v>Privat, oberoende granskning</v>
      </c>
      <c r="I57" s="25">
        <v>2</v>
      </c>
      <c r="J57" s="37">
        <f>VLOOKUP(I57,Price!$A$1:$B$5,2,FALSE)</f>
        <v>4920</v>
      </c>
      <c r="K57" s="48">
        <v>2</v>
      </c>
      <c r="L57" s="49" t="str">
        <f>VLOOKUP(K57,Source!$A$1:$B$5,2,FALSE)</f>
        <v>Marknadscertifiering</v>
      </c>
      <c r="M57" s="50">
        <v>0</v>
      </c>
      <c r="N57" s="49" t="str">
        <f>VLOOKUP(M57,Land!$A$1:$B$4,2,FALSE)</f>
        <v>Småskaliga privata ägare</v>
      </c>
      <c r="O57" s="50">
        <v>0</v>
      </c>
      <c r="P57" s="49" t="str">
        <f>VLOOKUP(O57,Monitor!$A$1:$B$3,2,FALSE)</f>
        <v>Privat, oberoende granskning</v>
      </c>
      <c r="Q57" s="50">
        <v>3</v>
      </c>
      <c r="R57" s="51">
        <f>VLOOKUP(Q57,Price!$A$1:$B$5,2,FALSE)</f>
        <v>7380</v>
      </c>
    </row>
    <row r="58" spans="1:18" x14ac:dyDescent="0.2">
      <c r="A58" s="9">
        <v>57</v>
      </c>
      <c r="B58" s="14">
        <v>8</v>
      </c>
      <c r="C58" s="28">
        <v>3</v>
      </c>
      <c r="D58" s="29" t="str">
        <f>VLOOKUP(C58,Source!$A$1:$B$5,2,FALSE)</f>
        <v>Obligatorisk kompensation</v>
      </c>
      <c r="E58" s="30">
        <v>0</v>
      </c>
      <c r="F58" s="29" t="str">
        <f>VLOOKUP(E58,Land!$A$1:$B$4,2,FALSE)</f>
        <v>Småskaliga privata ägare</v>
      </c>
      <c r="G58" s="30">
        <v>1</v>
      </c>
      <c r="H58" s="31" t="str">
        <f>VLOOKUP(G58,Monitor!$A$1:$B$3,2,FALSE)</f>
        <v>Offentlig förvaltning</v>
      </c>
      <c r="I58" s="21">
        <v>1</v>
      </c>
      <c r="J58" s="38">
        <f>VLOOKUP(I58,Price!$A$1:$B$5,2,FALSE)</f>
        <v>2460</v>
      </c>
      <c r="K58" s="52">
        <v>1</v>
      </c>
      <c r="L58" s="53" t="str">
        <f>VLOOKUP(K58,Source!$A$1:$B$5,2,FALSE)</f>
        <v>Frivillig donation</v>
      </c>
      <c r="M58" s="54">
        <v>0</v>
      </c>
      <c r="N58" s="53" t="str">
        <f>VLOOKUP(M58,Land!$A$1:$B$4,2,FALSE)</f>
        <v>Småskaliga privata ägare</v>
      </c>
      <c r="O58" s="54">
        <v>1</v>
      </c>
      <c r="P58" s="53" t="str">
        <f>VLOOKUP(O58,Monitor!$A$1:$B$3,2,FALSE)</f>
        <v>Offentlig förvaltning</v>
      </c>
      <c r="Q58" s="54">
        <v>3</v>
      </c>
      <c r="R58" s="55">
        <f>VLOOKUP(Q58,Price!$A$1:$B$5,2,FALSE)</f>
        <v>7380</v>
      </c>
    </row>
    <row r="59" spans="1:18" x14ac:dyDescent="0.2">
      <c r="A59" s="9">
        <v>58</v>
      </c>
      <c r="B59" s="12">
        <v>8</v>
      </c>
      <c r="C59" s="32">
        <v>0</v>
      </c>
      <c r="D59" s="23" t="str">
        <f>VLOOKUP(C59,Source!$A$1:$B$5,2,FALSE)</f>
        <v>Skattebetalning</v>
      </c>
      <c r="E59" s="21">
        <v>2</v>
      </c>
      <c r="F59" s="23" t="str">
        <f>VLOOKUP(E59,Land!$A$1:$B$4,2,FALSE)</f>
        <v>Offentlig mark</v>
      </c>
      <c r="G59" s="21">
        <v>0</v>
      </c>
      <c r="H59" s="24" t="str">
        <f>VLOOKUP(G59,Monitor!$A$1:$B$3,2,FALSE)</f>
        <v>Privat, oberoende granskning</v>
      </c>
      <c r="I59" s="21">
        <v>2</v>
      </c>
      <c r="J59" s="36">
        <f>VLOOKUP(I59,Price!$A$1:$B$5,2,FALSE)</f>
        <v>4920</v>
      </c>
      <c r="K59" s="44">
        <v>0</v>
      </c>
      <c r="L59" s="45" t="str">
        <f>VLOOKUP(K59,Source!$A$1:$B$5,2,FALSE)</f>
        <v>Skattebetalning</v>
      </c>
      <c r="M59" s="46">
        <v>2</v>
      </c>
      <c r="N59" s="45" t="str">
        <f>VLOOKUP(M59,Land!$A$1:$B$4,2,FALSE)</f>
        <v>Offentlig mark</v>
      </c>
      <c r="O59" s="46">
        <v>1</v>
      </c>
      <c r="P59" s="45" t="str">
        <f>VLOOKUP(O59,Monitor!$A$1:$B$3,2,FALSE)</f>
        <v>Offentlig förvaltning</v>
      </c>
      <c r="Q59" s="46">
        <v>2</v>
      </c>
      <c r="R59" s="47">
        <f>VLOOKUP(Q59,Price!$A$1:$B$5,2,FALSE)</f>
        <v>4920</v>
      </c>
    </row>
    <row r="60" spans="1:18" x14ac:dyDescent="0.2">
      <c r="A60" s="9">
        <v>59</v>
      </c>
      <c r="B60" s="12">
        <v>8</v>
      </c>
      <c r="C60" s="32">
        <v>0</v>
      </c>
      <c r="D60" s="23" t="str">
        <f>VLOOKUP(C60,Source!$A$1:$B$5,2,FALSE)</f>
        <v>Skattebetalning</v>
      </c>
      <c r="E60" s="21">
        <v>2</v>
      </c>
      <c r="F60" s="23" t="str">
        <f>VLOOKUP(E60,Land!$A$1:$B$4,2,FALSE)</f>
        <v>Offentlig mark</v>
      </c>
      <c r="G60" s="21">
        <v>1</v>
      </c>
      <c r="H60" s="24" t="str">
        <f>VLOOKUP(G60,Monitor!$A$1:$B$3,2,FALSE)</f>
        <v>Offentlig förvaltning</v>
      </c>
      <c r="I60" s="21">
        <v>3</v>
      </c>
      <c r="J60" s="36">
        <f>VLOOKUP(I60,Price!$A$1:$B$5,2,FALSE)</f>
        <v>7380</v>
      </c>
      <c r="K60" s="44">
        <v>2</v>
      </c>
      <c r="L60" s="45" t="str">
        <f>VLOOKUP(K60,Source!$A$1:$B$5,2,FALSE)</f>
        <v>Marknadscertifiering</v>
      </c>
      <c r="M60" s="46">
        <v>0</v>
      </c>
      <c r="N60" s="45" t="str">
        <f>VLOOKUP(M60,Land!$A$1:$B$4,2,FALSE)</f>
        <v>Småskaliga privata ägare</v>
      </c>
      <c r="O60" s="46">
        <v>0</v>
      </c>
      <c r="P60" s="45" t="str">
        <f>VLOOKUP(O60,Monitor!$A$1:$B$3,2,FALSE)</f>
        <v>Privat, oberoende granskning</v>
      </c>
      <c r="Q60" s="46">
        <v>2</v>
      </c>
      <c r="R60" s="47">
        <f>VLOOKUP(Q60,Price!$A$1:$B$5,2,FALSE)</f>
        <v>4920</v>
      </c>
    </row>
    <row r="61" spans="1:18" x14ac:dyDescent="0.2">
      <c r="A61" s="9">
        <v>60</v>
      </c>
      <c r="B61" s="12">
        <v>8</v>
      </c>
      <c r="C61" s="32">
        <v>2</v>
      </c>
      <c r="D61" s="23" t="str">
        <f>VLOOKUP(C61,Source!$A$1:$B$5,2,FALSE)</f>
        <v>Marknadscertifiering</v>
      </c>
      <c r="E61" s="21">
        <v>0</v>
      </c>
      <c r="F61" s="23" t="str">
        <f>VLOOKUP(E61,Land!$A$1:$B$4,2,FALSE)</f>
        <v>Småskaliga privata ägare</v>
      </c>
      <c r="G61" s="21">
        <v>0</v>
      </c>
      <c r="H61" s="24" t="str">
        <f>VLOOKUP(G61,Monitor!$A$1:$B$3,2,FALSE)</f>
        <v>Privat, oberoende granskning</v>
      </c>
      <c r="I61" s="21">
        <v>1</v>
      </c>
      <c r="J61" s="36">
        <f>VLOOKUP(I61,Price!$A$1:$B$5,2,FALSE)</f>
        <v>2460</v>
      </c>
      <c r="K61" s="44">
        <v>1</v>
      </c>
      <c r="L61" s="45" t="str">
        <f>VLOOKUP(K61,Source!$A$1:$B$5,2,FALSE)</f>
        <v>Frivillig donation</v>
      </c>
      <c r="M61" s="46">
        <v>1</v>
      </c>
      <c r="N61" s="45" t="str">
        <f>VLOOKUP(M61,Land!$A$1:$B$4,2,FALSE)</f>
        <v>Industriella företag</v>
      </c>
      <c r="O61" s="46">
        <v>0</v>
      </c>
      <c r="P61" s="45" t="str">
        <f>VLOOKUP(O61,Monitor!$A$1:$B$3,2,FALSE)</f>
        <v>Privat, oberoende granskning</v>
      </c>
      <c r="Q61" s="46">
        <v>3</v>
      </c>
      <c r="R61" s="47">
        <f>VLOOKUP(Q61,Price!$A$1:$B$5,2,FALSE)</f>
        <v>7380</v>
      </c>
    </row>
    <row r="62" spans="1:18" x14ac:dyDescent="0.2">
      <c r="A62" s="9">
        <v>61</v>
      </c>
      <c r="B62" s="12">
        <v>8</v>
      </c>
      <c r="C62" s="32">
        <v>0</v>
      </c>
      <c r="D62" s="23" t="str">
        <f>VLOOKUP(C62,Source!$A$1:$B$5,2,FALSE)</f>
        <v>Skattebetalning</v>
      </c>
      <c r="E62" s="21">
        <v>2</v>
      </c>
      <c r="F62" s="23" t="str">
        <f>VLOOKUP(E62,Land!$A$1:$B$4,2,FALSE)</f>
        <v>Offentlig mark</v>
      </c>
      <c r="G62" s="21">
        <v>0</v>
      </c>
      <c r="H62" s="24" t="str">
        <f>VLOOKUP(G62,Monitor!$A$1:$B$3,2,FALSE)</f>
        <v>Privat, oberoende granskning</v>
      </c>
      <c r="I62" s="21">
        <v>2</v>
      </c>
      <c r="J62" s="36">
        <f>VLOOKUP(I62,Price!$A$1:$B$5,2,FALSE)</f>
        <v>4920</v>
      </c>
      <c r="K62" s="44">
        <v>1</v>
      </c>
      <c r="L62" s="45" t="str">
        <f>VLOOKUP(K62,Source!$A$1:$B$5,2,FALSE)</f>
        <v>Frivillig donation</v>
      </c>
      <c r="M62" s="46">
        <v>0</v>
      </c>
      <c r="N62" s="45" t="str">
        <f>VLOOKUP(M62,Land!$A$1:$B$4,2,FALSE)</f>
        <v>Småskaliga privata ägare</v>
      </c>
      <c r="O62" s="46">
        <v>0</v>
      </c>
      <c r="P62" s="45" t="str">
        <f>VLOOKUP(O62,Monitor!$A$1:$B$3,2,FALSE)</f>
        <v>Privat, oberoende granskning</v>
      </c>
      <c r="Q62" s="46">
        <v>0</v>
      </c>
      <c r="R62" s="47">
        <f>VLOOKUP(Q62,Price!$A$1:$B$5,2,FALSE)</f>
        <v>492</v>
      </c>
    </row>
    <row r="63" spans="1:18" x14ac:dyDescent="0.2">
      <c r="A63" s="9">
        <v>62</v>
      </c>
      <c r="B63" s="12">
        <v>8</v>
      </c>
      <c r="C63" s="32">
        <v>2</v>
      </c>
      <c r="D63" s="23" t="str">
        <f>VLOOKUP(C63,Source!$A$1:$B$5,2,FALSE)</f>
        <v>Marknadscertifiering</v>
      </c>
      <c r="E63" s="21">
        <v>1</v>
      </c>
      <c r="F63" s="23" t="str">
        <f>VLOOKUP(E63,Land!$A$1:$B$4,2,FALSE)</f>
        <v>Industriella företag</v>
      </c>
      <c r="G63" s="21">
        <v>0</v>
      </c>
      <c r="H63" s="24" t="str">
        <f>VLOOKUP(G63,Monitor!$A$1:$B$3,2,FALSE)</f>
        <v>Privat, oberoende granskning</v>
      </c>
      <c r="I63" s="21">
        <v>3</v>
      </c>
      <c r="J63" s="36">
        <f>VLOOKUP(I63,Price!$A$1:$B$5,2,FALSE)</f>
        <v>7380</v>
      </c>
      <c r="K63" s="44">
        <v>2</v>
      </c>
      <c r="L63" s="45" t="str">
        <f>VLOOKUP(K63,Source!$A$1:$B$5,2,FALSE)</f>
        <v>Marknadscertifiering</v>
      </c>
      <c r="M63" s="46">
        <v>2</v>
      </c>
      <c r="N63" s="45" t="str">
        <f>VLOOKUP(M63,Land!$A$1:$B$4,2,FALSE)</f>
        <v>Offentlig mark</v>
      </c>
      <c r="O63" s="46">
        <v>1</v>
      </c>
      <c r="P63" s="45" t="str">
        <f>VLOOKUP(O63,Monitor!$A$1:$B$3,2,FALSE)</f>
        <v>Offentlig förvaltning</v>
      </c>
      <c r="Q63" s="46">
        <v>2</v>
      </c>
      <c r="R63" s="47">
        <f>VLOOKUP(Q63,Price!$A$1:$B$5,2,FALSE)</f>
        <v>4920</v>
      </c>
    </row>
    <row r="64" spans="1:18" x14ac:dyDescent="0.2">
      <c r="A64" s="9">
        <v>63</v>
      </c>
      <c r="B64" s="12">
        <v>8</v>
      </c>
      <c r="C64" s="32">
        <v>1</v>
      </c>
      <c r="D64" s="23" t="str">
        <f>VLOOKUP(C64,Source!$A$1:$B$5,2,FALSE)</f>
        <v>Frivillig donation</v>
      </c>
      <c r="E64" s="21">
        <v>2</v>
      </c>
      <c r="F64" s="23" t="str">
        <f>VLOOKUP(E64,Land!$A$1:$B$4,2,FALSE)</f>
        <v>Offentlig mark</v>
      </c>
      <c r="G64" s="21">
        <v>0</v>
      </c>
      <c r="H64" s="24" t="str">
        <f>VLOOKUP(G64,Monitor!$A$1:$B$3,2,FALSE)</f>
        <v>Privat, oberoende granskning</v>
      </c>
      <c r="I64" s="21">
        <v>2</v>
      </c>
      <c r="J64" s="36">
        <f>VLOOKUP(I64,Price!$A$1:$B$5,2,FALSE)</f>
        <v>4920</v>
      </c>
      <c r="K64" s="44">
        <v>0</v>
      </c>
      <c r="L64" s="45" t="str">
        <f>VLOOKUP(K64,Source!$A$1:$B$5,2,FALSE)</f>
        <v>Skattebetalning</v>
      </c>
      <c r="M64" s="46">
        <v>2</v>
      </c>
      <c r="N64" s="45" t="str">
        <f>VLOOKUP(M64,Land!$A$1:$B$4,2,FALSE)</f>
        <v>Offentlig mark</v>
      </c>
      <c r="O64" s="46">
        <v>0</v>
      </c>
      <c r="P64" s="45" t="str">
        <f>VLOOKUP(O64,Monitor!$A$1:$B$3,2,FALSE)</f>
        <v>Privat, oberoende granskning</v>
      </c>
      <c r="Q64" s="46">
        <v>1</v>
      </c>
      <c r="R64" s="47">
        <f>VLOOKUP(Q64,Price!$A$1:$B$5,2,FALSE)</f>
        <v>2460</v>
      </c>
    </row>
    <row r="65" spans="1:18" x14ac:dyDescent="0.2">
      <c r="A65" s="9">
        <v>64</v>
      </c>
      <c r="B65" s="13">
        <v>8</v>
      </c>
      <c r="C65" s="33">
        <v>1</v>
      </c>
      <c r="D65" s="26" t="str">
        <f>VLOOKUP(C65,Source!$A$1:$B$5,2,FALSE)</f>
        <v>Frivillig donation</v>
      </c>
      <c r="E65" s="25">
        <v>1</v>
      </c>
      <c r="F65" s="26" t="str">
        <f>VLOOKUP(E65,Land!$A$1:$B$4,2,FALSE)</f>
        <v>Industriella företag</v>
      </c>
      <c r="G65" s="25">
        <v>0</v>
      </c>
      <c r="H65" s="27" t="str">
        <f>VLOOKUP(G65,Monitor!$A$1:$B$3,2,FALSE)</f>
        <v>Privat, oberoende granskning</v>
      </c>
      <c r="I65" s="25">
        <v>3</v>
      </c>
      <c r="J65" s="37">
        <f>VLOOKUP(I65,Price!$A$1:$B$5,2,FALSE)</f>
        <v>7380</v>
      </c>
      <c r="K65" s="48">
        <v>2</v>
      </c>
      <c r="L65" s="49" t="str">
        <f>VLOOKUP(K65,Source!$A$1:$B$5,2,FALSE)</f>
        <v>Marknadscertifiering</v>
      </c>
      <c r="M65" s="50">
        <v>0</v>
      </c>
      <c r="N65" s="49" t="str">
        <f>VLOOKUP(M65,Land!$A$1:$B$4,2,FALSE)</f>
        <v>Småskaliga privata ägare</v>
      </c>
      <c r="O65" s="50">
        <v>0</v>
      </c>
      <c r="P65" s="49" t="str">
        <f>VLOOKUP(O65,Monitor!$A$1:$B$3,2,FALSE)</f>
        <v>Privat, oberoende granskning</v>
      </c>
      <c r="Q65" s="50">
        <v>1</v>
      </c>
      <c r="R65" s="51">
        <f>VLOOKUP(Q65,Price!$A$1:$B$5,2,FALSE)</f>
        <v>2460</v>
      </c>
    </row>
    <row r="66" spans="1:18" x14ac:dyDescent="0.2">
      <c r="A66" s="9">
        <v>65</v>
      </c>
      <c r="B66" s="14">
        <v>9</v>
      </c>
      <c r="C66" s="28">
        <v>3</v>
      </c>
      <c r="D66" s="29" t="str">
        <f>VLOOKUP(C66,Source!$A$1:$B$5,2,FALSE)</f>
        <v>Obligatorisk kompensation</v>
      </c>
      <c r="E66" s="30">
        <v>1</v>
      </c>
      <c r="F66" s="29" t="str">
        <f>VLOOKUP(E66,Land!$A$1:$B$4,2,FALSE)</f>
        <v>Industriella företag</v>
      </c>
      <c r="G66" s="30">
        <v>0</v>
      </c>
      <c r="H66" s="31" t="str">
        <f>VLOOKUP(G66,Monitor!$A$1:$B$3,2,FALSE)</f>
        <v>Privat, oberoende granskning</v>
      </c>
      <c r="I66" s="21">
        <v>3</v>
      </c>
      <c r="J66" s="38">
        <f>VLOOKUP(I66,Price!$A$1:$B$5,2,FALSE)</f>
        <v>7380</v>
      </c>
      <c r="K66" s="52">
        <v>2</v>
      </c>
      <c r="L66" s="53" t="str">
        <f>VLOOKUP(K66,Source!$A$1:$B$5,2,FALSE)</f>
        <v>Marknadscertifiering</v>
      </c>
      <c r="M66" s="54">
        <v>1</v>
      </c>
      <c r="N66" s="53" t="str">
        <f>VLOOKUP(M66,Land!$A$1:$B$4,2,FALSE)</f>
        <v>Industriella företag</v>
      </c>
      <c r="O66" s="54">
        <v>0</v>
      </c>
      <c r="P66" s="53" t="str">
        <f>VLOOKUP(O66,Monitor!$A$1:$B$3,2,FALSE)</f>
        <v>Privat, oberoende granskning</v>
      </c>
      <c r="Q66" s="54">
        <v>3</v>
      </c>
      <c r="R66" s="55">
        <f>VLOOKUP(Q66,Price!$A$1:$B$5,2,FALSE)</f>
        <v>7380</v>
      </c>
    </row>
    <row r="67" spans="1:18" x14ac:dyDescent="0.2">
      <c r="A67" s="9">
        <v>66</v>
      </c>
      <c r="B67" s="12">
        <v>9</v>
      </c>
      <c r="C67" s="32">
        <v>1</v>
      </c>
      <c r="D67" s="23" t="str">
        <f>VLOOKUP(C67,Source!$A$1:$B$5,2,FALSE)</f>
        <v>Frivillig donation</v>
      </c>
      <c r="E67" s="21">
        <v>2</v>
      </c>
      <c r="F67" s="23" t="str">
        <f>VLOOKUP(E67,Land!$A$1:$B$4,2,FALSE)</f>
        <v>Offentlig mark</v>
      </c>
      <c r="G67" s="21">
        <v>0</v>
      </c>
      <c r="H67" s="24" t="str">
        <f>VLOOKUP(G67,Monitor!$A$1:$B$3,2,FALSE)</f>
        <v>Privat, oberoende granskning</v>
      </c>
      <c r="I67" s="21">
        <v>0</v>
      </c>
      <c r="J67" s="36">
        <f>VLOOKUP(I67,Price!$A$1:$B$5,2,FALSE)</f>
        <v>492</v>
      </c>
      <c r="K67" s="44">
        <v>1</v>
      </c>
      <c r="L67" s="45" t="str">
        <f>VLOOKUP(K67,Source!$A$1:$B$5,2,FALSE)</f>
        <v>Frivillig donation</v>
      </c>
      <c r="M67" s="46">
        <v>0</v>
      </c>
      <c r="N67" s="45" t="str">
        <f>VLOOKUP(M67,Land!$A$1:$B$4,2,FALSE)</f>
        <v>Småskaliga privata ägare</v>
      </c>
      <c r="O67" s="46">
        <v>0</v>
      </c>
      <c r="P67" s="45" t="str">
        <f>VLOOKUP(O67,Monitor!$A$1:$B$3,2,FALSE)</f>
        <v>Privat, oberoende granskning</v>
      </c>
      <c r="Q67" s="46">
        <v>1</v>
      </c>
      <c r="R67" s="47">
        <f>VLOOKUP(Q67,Price!$A$1:$B$5,2,FALSE)</f>
        <v>2460</v>
      </c>
    </row>
    <row r="68" spans="1:18" x14ac:dyDescent="0.2">
      <c r="A68" s="9">
        <v>67</v>
      </c>
      <c r="B68" s="12">
        <v>9</v>
      </c>
      <c r="C68" s="32">
        <v>0</v>
      </c>
      <c r="D68" s="23" t="str">
        <f>VLOOKUP(C68,Source!$A$1:$B$5,2,FALSE)</f>
        <v>Skattebetalning</v>
      </c>
      <c r="E68" s="21">
        <v>2</v>
      </c>
      <c r="F68" s="23" t="str">
        <f>VLOOKUP(E68,Land!$A$1:$B$4,2,FALSE)</f>
        <v>Offentlig mark</v>
      </c>
      <c r="G68" s="21">
        <v>0</v>
      </c>
      <c r="H68" s="24" t="str">
        <f>VLOOKUP(G68,Monitor!$A$1:$B$3,2,FALSE)</f>
        <v>Privat, oberoende granskning</v>
      </c>
      <c r="I68" s="21">
        <v>2</v>
      </c>
      <c r="J68" s="36">
        <f>VLOOKUP(I68,Price!$A$1:$B$5,2,FALSE)</f>
        <v>4920</v>
      </c>
      <c r="K68" s="44">
        <v>3</v>
      </c>
      <c r="L68" s="45" t="str">
        <f>VLOOKUP(K68,Source!$A$1:$B$5,2,FALSE)</f>
        <v>Obligatorisk kompensation</v>
      </c>
      <c r="M68" s="46">
        <v>0</v>
      </c>
      <c r="N68" s="45" t="str">
        <f>VLOOKUP(M68,Land!$A$1:$B$4,2,FALSE)</f>
        <v>Småskaliga privata ägare</v>
      </c>
      <c r="O68" s="46">
        <v>0</v>
      </c>
      <c r="P68" s="45" t="str">
        <f>VLOOKUP(O68,Monitor!$A$1:$B$3,2,FALSE)</f>
        <v>Privat, oberoende granskning</v>
      </c>
      <c r="Q68" s="46">
        <v>0</v>
      </c>
      <c r="R68" s="47">
        <f>VLOOKUP(Q68,Price!$A$1:$B$5,2,FALSE)</f>
        <v>492</v>
      </c>
    </row>
    <row r="69" spans="1:18" x14ac:dyDescent="0.2">
      <c r="A69" s="9">
        <v>68</v>
      </c>
      <c r="B69" s="12">
        <v>9</v>
      </c>
      <c r="C69" s="32">
        <v>2</v>
      </c>
      <c r="D69" s="23" t="str">
        <f>VLOOKUP(C69,Source!$A$1:$B$5,2,FALSE)</f>
        <v>Marknadscertifiering</v>
      </c>
      <c r="E69" s="21">
        <v>2</v>
      </c>
      <c r="F69" s="23" t="str">
        <f>VLOOKUP(E69,Land!$A$1:$B$4,2,FALSE)</f>
        <v>Offentlig mark</v>
      </c>
      <c r="G69" s="21">
        <v>1</v>
      </c>
      <c r="H69" s="24" t="str">
        <f>VLOOKUP(G69,Monitor!$A$1:$B$3,2,FALSE)</f>
        <v>Offentlig förvaltning</v>
      </c>
      <c r="I69" s="21">
        <v>1</v>
      </c>
      <c r="J69" s="36">
        <f>VLOOKUP(I69,Price!$A$1:$B$5,2,FALSE)</f>
        <v>2460</v>
      </c>
      <c r="K69" s="44">
        <v>2</v>
      </c>
      <c r="L69" s="45" t="str">
        <f>VLOOKUP(K69,Source!$A$1:$B$5,2,FALSE)</f>
        <v>Marknadscertifiering</v>
      </c>
      <c r="M69" s="46">
        <v>0</v>
      </c>
      <c r="N69" s="45" t="str">
        <f>VLOOKUP(M69,Land!$A$1:$B$4,2,FALSE)</f>
        <v>Småskaliga privata ägare</v>
      </c>
      <c r="O69" s="46">
        <v>0</v>
      </c>
      <c r="P69" s="45" t="str">
        <f>VLOOKUP(O69,Monitor!$A$1:$B$3,2,FALSE)</f>
        <v>Privat, oberoende granskning</v>
      </c>
      <c r="Q69" s="46">
        <v>1</v>
      </c>
      <c r="R69" s="47">
        <f>VLOOKUP(Q69,Price!$A$1:$B$5,2,FALSE)</f>
        <v>2460</v>
      </c>
    </row>
    <row r="70" spans="1:18" x14ac:dyDescent="0.2">
      <c r="A70" s="9">
        <v>69</v>
      </c>
      <c r="B70" s="12">
        <v>9</v>
      </c>
      <c r="C70" s="32">
        <v>1</v>
      </c>
      <c r="D70" s="23" t="str">
        <f>VLOOKUP(C70,Source!$A$1:$B$5,2,FALSE)</f>
        <v>Frivillig donation</v>
      </c>
      <c r="E70" s="21">
        <v>1</v>
      </c>
      <c r="F70" s="23" t="str">
        <f>VLOOKUP(E70,Land!$A$1:$B$4,2,FALSE)</f>
        <v>Industriella företag</v>
      </c>
      <c r="G70" s="21">
        <v>1</v>
      </c>
      <c r="H70" s="24" t="str">
        <f>VLOOKUP(G70,Monitor!$A$1:$B$3,2,FALSE)</f>
        <v>Offentlig förvaltning</v>
      </c>
      <c r="I70" s="21">
        <v>1</v>
      </c>
      <c r="J70" s="36">
        <f>VLOOKUP(I70,Price!$A$1:$B$5,2,FALSE)</f>
        <v>2460</v>
      </c>
      <c r="K70" s="44">
        <v>3</v>
      </c>
      <c r="L70" s="45" t="str">
        <f>VLOOKUP(K70,Source!$A$1:$B$5,2,FALSE)</f>
        <v>Obligatorisk kompensation</v>
      </c>
      <c r="M70" s="46">
        <v>0</v>
      </c>
      <c r="N70" s="45" t="str">
        <f>VLOOKUP(M70,Land!$A$1:$B$4,2,FALSE)</f>
        <v>Småskaliga privata ägare</v>
      </c>
      <c r="O70" s="46">
        <v>1</v>
      </c>
      <c r="P70" s="45" t="str">
        <f>VLOOKUP(O70,Monitor!$A$1:$B$3,2,FALSE)</f>
        <v>Offentlig förvaltning</v>
      </c>
      <c r="Q70" s="46">
        <v>1</v>
      </c>
      <c r="R70" s="47">
        <f>VLOOKUP(Q70,Price!$A$1:$B$5,2,FALSE)</f>
        <v>2460</v>
      </c>
    </row>
    <row r="71" spans="1:18" x14ac:dyDescent="0.2">
      <c r="A71" s="9">
        <v>70</v>
      </c>
      <c r="B71" s="12">
        <v>9</v>
      </c>
      <c r="C71" s="32">
        <v>1</v>
      </c>
      <c r="D71" s="23" t="str">
        <f>VLOOKUP(C71,Source!$A$1:$B$5,2,FALSE)</f>
        <v>Frivillig donation</v>
      </c>
      <c r="E71" s="21">
        <v>2</v>
      </c>
      <c r="F71" s="23" t="str">
        <f>VLOOKUP(E71,Land!$A$1:$B$4,2,FALSE)</f>
        <v>Offentlig mark</v>
      </c>
      <c r="G71" s="21">
        <v>0</v>
      </c>
      <c r="H71" s="24" t="str">
        <f>VLOOKUP(G71,Monitor!$A$1:$B$3,2,FALSE)</f>
        <v>Privat, oberoende granskning</v>
      </c>
      <c r="I71" s="21">
        <v>0</v>
      </c>
      <c r="J71" s="36">
        <f>VLOOKUP(I71,Price!$A$1:$B$5,2,FALSE)</f>
        <v>492</v>
      </c>
      <c r="K71" s="44">
        <v>1</v>
      </c>
      <c r="L71" s="45" t="str">
        <f>VLOOKUP(K71,Source!$A$1:$B$5,2,FALSE)</f>
        <v>Frivillig donation</v>
      </c>
      <c r="M71" s="46">
        <v>2</v>
      </c>
      <c r="N71" s="45" t="str">
        <f>VLOOKUP(M71,Land!$A$1:$B$4,2,FALSE)</f>
        <v>Offentlig mark</v>
      </c>
      <c r="O71" s="46">
        <v>1</v>
      </c>
      <c r="P71" s="45" t="str">
        <f>VLOOKUP(O71,Monitor!$A$1:$B$3,2,FALSE)</f>
        <v>Offentlig förvaltning</v>
      </c>
      <c r="Q71" s="46">
        <v>2</v>
      </c>
      <c r="R71" s="47">
        <f>VLOOKUP(Q71,Price!$A$1:$B$5,2,FALSE)</f>
        <v>4920</v>
      </c>
    </row>
    <row r="72" spans="1:18" x14ac:dyDescent="0.2">
      <c r="A72" s="9">
        <v>71</v>
      </c>
      <c r="B72" s="12">
        <v>9</v>
      </c>
      <c r="C72" s="32">
        <v>0</v>
      </c>
      <c r="D72" s="23" t="str">
        <f>VLOOKUP(C72,Source!$A$1:$B$5,2,FALSE)</f>
        <v>Skattebetalning</v>
      </c>
      <c r="E72" s="21">
        <v>1</v>
      </c>
      <c r="F72" s="23" t="str">
        <f>VLOOKUP(E72,Land!$A$1:$B$4,2,FALSE)</f>
        <v>Industriella företag</v>
      </c>
      <c r="G72" s="21">
        <v>0</v>
      </c>
      <c r="H72" s="24" t="str">
        <f>VLOOKUP(G72,Monitor!$A$1:$B$3,2,FALSE)</f>
        <v>Privat, oberoende granskning</v>
      </c>
      <c r="I72" s="21">
        <v>3</v>
      </c>
      <c r="J72" s="36">
        <f>VLOOKUP(I72,Price!$A$1:$B$5,2,FALSE)</f>
        <v>7380</v>
      </c>
      <c r="K72" s="44">
        <v>1</v>
      </c>
      <c r="L72" s="45" t="str">
        <f>VLOOKUP(K72,Source!$A$1:$B$5,2,FALSE)</f>
        <v>Frivillig donation</v>
      </c>
      <c r="M72" s="46">
        <v>2</v>
      </c>
      <c r="N72" s="45" t="str">
        <f>VLOOKUP(M72,Land!$A$1:$B$4,2,FALSE)</f>
        <v>Offentlig mark</v>
      </c>
      <c r="O72" s="46">
        <v>1</v>
      </c>
      <c r="P72" s="45" t="str">
        <f>VLOOKUP(O72,Monitor!$A$1:$B$3,2,FALSE)</f>
        <v>Offentlig förvaltning</v>
      </c>
      <c r="Q72" s="46">
        <v>3</v>
      </c>
      <c r="R72" s="47">
        <f>VLOOKUP(Q72,Price!$A$1:$B$5,2,FALSE)</f>
        <v>7380</v>
      </c>
    </row>
    <row r="73" spans="1:18" x14ac:dyDescent="0.2">
      <c r="A73" s="9">
        <v>72</v>
      </c>
      <c r="B73" s="13">
        <v>9</v>
      </c>
      <c r="C73" s="33">
        <v>3</v>
      </c>
      <c r="D73" s="26" t="str">
        <f>VLOOKUP(C73,Source!$A$1:$B$5,2,FALSE)</f>
        <v>Obligatorisk kompensation</v>
      </c>
      <c r="E73" s="25">
        <v>2</v>
      </c>
      <c r="F73" s="26" t="str">
        <f>VLOOKUP(E73,Land!$A$1:$B$4,2,FALSE)</f>
        <v>Offentlig mark</v>
      </c>
      <c r="G73" s="25">
        <v>1</v>
      </c>
      <c r="H73" s="27" t="str">
        <f>VLOOKUP(G73,Monitor!$A$1:$B$3,2,FALSE)</f>
        <v>Offentlig förvaltning</v>
      </c>
      <c r="I73" s="25">
        <v>1</v>
      </c>
      <c r="J73" s="37">
        <f>VLOOKUP(I73,Price!$A$1:$B$5,2,FALSE)</f>
        <v>2460</v>
      </c>
      <c r="K73" s="48">
        <v>3</v>
      </c>
      <c r="L73" s="49" t="str">
        <f>VLOOKUP(K73,Source!$A$1:$B$5,2,FALSE)</f>
        <v>Obligatorisk kompensation</v>
      </c>
      <c r="M73" s="50">
        <v>1</v>
      </c>
      <c r="N73" s="49" t="str">
        <f>VLOOKUP(M73,Land!$A$1:$B$4,2,FALSE)</f>
        <v>Industriella företag</v>
      </c>
      <c r="O73" s="50">
        <v>1</v>
      </c>
      <c r="P73" s="49" t="str">
        <f>VLOOKUP(O73,Monitor!$A$1:$B$3,2,FALSE)</f>
        <v>Offentlig förvaltning</v>
      </c>
      <c r="Q73" s="50">
        <v>0</v>
      </c>
      <c r="R73" s="51">
        <f>VLOOKUP(Q73,Price!$A$1:$B$5,2,FALSE)</f>
        <v>492</v>
      </c>
    </row>
    <row r="74" spans="1:18" x14ac:dyDescent="0.2">
      <c r="A74" s="9">
        <v>73</v>
      </c>
      <c r="B74" s="14">
        <v>10</v>
      </c>
      <c r="C74" s="28">
        <v>3</v>
      </c>
      <c r="D74" s="29" t="str">
        <f>VLOOKUP(C74,Source!$A$1:$B$5,2,FALSE)</f>
        <v>Obligatorisk kompensation</v>
      </c>
      <c r="E74" s="30">
        <v>0</v>
      </c>
      <c r="F74" s="29" t="str">
        <f>VLOOKUP(E74,Land!$A$1:$B$4,2,FALSE)</f>
        <v>Småskaliga privata ägare</v>
      </c>
      <c r="G74" s="30">
        <v>0</v>
      </c>
      <c r="H74" s="31" t="str">
        <f>VLOOKUP(G74,Monitor!$A$1:$B$3,2,FALSE)</f>
        <v>Privat, oberoende granskning</v>
      </c>
      <c r="I74" s="21">
        <v>0</v>
      </c>
      <c r="J74" s="38">
        <f>VLOOKUP(I74,Price!$A$1:$B$5,2,FALSE)</f>
        <v>492</v>
      </c>
      <c r="K74" s="52">
        <v>1</v>
      </c>
      <c r="L74" s="53" t="str">
        <f>VLOOKUP(K74,Source!$A$1:$B$5,2,FALSE)</f>
        <v>Frivillig donation</v>
      </c>
      <c r="M74" s="54">
        <v>0</v>
      </c>
      <c r="N74" s="53" t="str">
        <f>VLOOKUP(M74,Land!$A$1:$B$4,2,FALSE)</f>
        <v>Småskaliga privata ägare</v>
      </c>
      <c r="O74" s="54">
        <v>1</v>
      </c>
      <c r="P74" s="53" t="str">
        <f>VLOOKUP(O74,Monitor!$A$1:$B$3,2,FALSE)</f>
        <v>Offentlig förvaltning</v>
      </c>
      <c r="Q74" s="54">
        <v>0</v>
      </c>
      <c r="R74" s="55">
        <f>VLOOKUP(Q74,Price!$A$1:$B$5,2,FALSE)</f>
        <v>492</v>
      </c>
    </row>
    <row r="75" spans="1:18" x14ac:dyDescent="0.2">
      <c r="A75" s="9">
        <v>74</v>
      </c>
      <c r="B75" s="12">
        <v>10</v>
      </c>
      <c r="C75" s="32">
        <v>3</v>
      </c>
      <c r="D75" s="23" t="str">
        <f>VLOOKUP(C75,Source!$A$1:$B$5,2,FALSE)</f>
        <v>Obligatorisk kompensation</v>
      </c>
      <c r="E75" s="21">
        <v>1</v>
      </c>
      <c r="F75" s="23" t="str">
        <f>VLOOKUP(E75,Land!$A$1:$B$4,2,FALSE)</f>
        <v>Industriella företag</v>
      </c>
      <c r="G75" s="21">
        <v>1</v>
      </c>
      <c r="H75" s="24" t="str">
        <f>VLOOKUP(G75,Monitor!$A$1:$B$3,2,FALSE)</f>
        <v>Offentlig förvaltning</v>
      </c>
      <c r="I75" s="21">
        <v>2</v>
      </c>
      <c r="J75" s="36">
        <f>VLOOKUP(I75,Price!$A$1:$B$5,2,FALSE)</f>
        <v>4920</v>
      </c>
      <c r="K75" s="44">
        <v>1</v>
      </c>
      <c r="L75" s="45" t="str">
        <f>VLOOKUP(K75,Source!$A$1:$B$5,2,FALSE)</f>
        <v>Frivillig donation</v>
      </c>
      <c r="M75" s="46">
        <v>1</v>
      </c>
      <c r="N75" s="45" t="str">
        <f>VLOOKUP(M75,Land!$A$1:$B$4,2,FALSE)</f>
        <v>Industriella företag</v>
      </c>
      <c r="O75" s="46">
        <v>0</v>
      </c>
      <c r="P75" s="45" t="str">
        <f>VLOOKUP(O75,Monitor!$A$1:$B$3,2,FALSE)</f>
        <v>Privat, oberoende granskning</v>
      </c>
      <c r="Q75" s="46">
        <v>2</v>
      </c>
      <c r="R75" s="47">
        <f>VLOOKUP(Q75,Price!$A$1:$B$5,2,FALSE)</f>
        <v>4920</v>
      </c>
    </row>
    <row r="76" spans="1:18" x14ac:dyDescent="0.2">
      <c r="A76" s="9">
        <v>75</v>
      </c>
      <c r="B76" s="12">
        <v>10</v>
      </c>
      <c r="C76" s="32">
        <v>1</v>
      </c>
      <c r="D76" s="23" t="str">
        <f>VLOOKUP(C76,Source!$A$1:$B$5,2,FALSE)</f>
        <v>Frivillig donation</v>
      </c>
      <c r="E76" s="21">
        <v>1</v>
      </c>
      <c r="F76" s="23" t="str">
        <f>VLOOKUP(E76,Land!$A$1:$B$4,2,FALSE)</f>
        <v>Industriella företag</v>
      </c>
      <c r="G76" s="21">
        <v>1</v>
      </c>
      <c r="H76" s="24" t="str">
        <f>VLOOKUP(G76,Monitor!$A$1:$B$3,2,FALSE)</f>
        <v>Offentlig förvaltning</v>
      </c>
      <c r="I76" s="21">
        <v>0</v>
      </c>
      <c r="J76" s="36">
        <f>VLOOKUP(I76,Price!$A$1:$B$5,2,FALSE)</f>
        <v>492</v>
      </c>
      <c r="K76" s="44">
        <v>0</v>
      </c>
      <c r="L76" s="45" t="str">
        <f>VLOOKUP(K76,Source!$A$1:$B$5,2,FALSE)</f>
        <v>Skattebetalning</v>
      </c>
      <c r="M76" s="46">
        <v>1</v>
      </c>
      <c r="N76" s="45" t="str">
        <f>VLOOKUP(M76,Land!$A$1:$B$4,2,FALSE)</f>
        <v>Industriella företag</v>
      </c>
      <c r="O76" s="46">
        <v>1</v>
      </c>
      <c r="P76" s="45" t="str">
        <f>VLOOKUP(O76,Monitor!$A$1:$B$3,2,FALSE)</f>
        <v>Offentlig förvaltning</v>
      </c>
      <c r="Q76" s="46">
        <v>3</v>
      </c>
      <c r="R76" s="47">
        <f>VLOOKUP(Q76,Price!$A$1:$B$5,2,FALSE)</f>
        <v>7380</v>
      </c>
    </row>
    <row r="77" spans="1:18" x14ac:dyDescent="0.2">
      <c r="A77" s="9">
        <v>76</v>
      </c>
      <c r="B77" s="12">
        <v>10</v>
      </c>
      <c r="C77" s="32">
        <v>1</v>
      </c>
      <c r="D77" s="23" t="str">
        <f>VLOOKUP(C77,Source!$A$1:$B$5,2,FALSE)</f>
        <v>Frivillig donation</v>
      </c>
      <c r="E77" s="21">
        <v>1</v>
      </c>
      <c r="F77" s="23" t="str">
        <f>VLOOKUP(E77,Land!$A$1:$B$4,2,FALSE)</f>
        <v>Industriella företag</v>
      </c>
      <c r="G77" s="21">
        <v>0</v>
      </c>
      <c r="H77" s="24" t="str">
        <f>VLOOKUP(G77,Monitor!$A$1:$B$3,2,FALSE)</f>
        <v>Privat, oberoende granskning</v>
      </c>
      <c r="I77" s="21">
        <v>3</v>
      </c>
      <c r="J77" s="36">
        <f>VLOOKUP(I77,Price!$A$1:$B$5,2,FALSE)</f>
        <v>7380</v>
      </c>
      <c r="K77" s="44">
        <v>2</v>
      </c>
      <c r="L77" s="45" t="str">
        <f>VLOOKUP(K77,Source!$A$1:$B$5,2,FALSE)</f>
        <v>Marknadscertifiering</v>
      </c>
      <c r="M77" s="46">
        <v>1</v>
      </c>
      <c r="N77" s="45" t="str">
        <f>VLOOKUP(M77,Land!$A$1:$B$4,2,FALSE)</f>
        <v>Industriella företag</v>
      </c>
      <c r="O77" s="46">
        <v>0</v>
      </c>
      <c r="P77" s="45" t="str">
        <f>VLOOKUP(O77,Monitor!$A$1:$B$3,2,FALSE)</f>
        <v>Privat, oberoende granskning</v>
      </c>
      <c r="Q77" s="46">
        <v>0</v>
      </c>
      <c r="R77" s="47">
        <f>VLOOKUP(Q77,Price!$A$1:$B$5,2,FALSE)</f>
        <v>492</v>
      </c>
    </row>
    <row r="78" spans="1:18" x14ac:dyDescent="0.2">
      <c r="A78" s="9">
        <v>77</v>
      </c>
      <c r="B78" s="12">
        <v>10</v>
      </c>
      <c r="C78" s="32">
        <v>0</v>
      </c>
      <c r="D78" s="23" t="str">
        <f>VLOOKUP(C78,Source!$A$1:$B$5,2,FALSE)</f>
        <v>Skattebetalning</v>
      </c>
      <c r="E78" s="21">
        <v>2</v>
      </c>
      <c r="F78" s="23" t="str">
        <f>VLOOKUP(E78,Land!$A$1:$B$4,2,FALSE)</f>
        <v>Offentlig mark</v>
      </c>
      <c r="G78" s="21">
        <v>1</v>
      </c>
      <c r="H78" s="24" t="str">
        <f>VLOOKUP(G78,Monitor!$A$1:$B$3,2,FALSE)</f>
        <v>Offentlig förvaltning</v>
      </c>
      <c r="I78" s="21">
        <v>1</v>
      </c>
      <c r="J78" s="36">
        <f>VLOOKUP(I78,Price!$A$1:$B$5,2,FALSE)</f>
        <v>2460</v>
      </c>
      <c r="K78" s="44">
        <v>2</v>
      </c>
      <c r="L78" s="45" t="str">
        <f>VLOOKUP(K78,Source!$A$1:$B$5,2,FALSE)</f>
        <v>Marknadscertifiering</v>
      </c>
      <c r="M78" s="46">
        <v>2</v>
      </c>
      <c r="N78" s="45" t="str">
        <f>VLOOKUP(M78,Land!$A$1:$B$4,2,FALSE)</f>
        <v>Offentlig mark</v>
      </c>
      <c r="O78" s="46">
        <v>1</v>
      </c>
      <c r="P78" s="45" t="str">
        <f>VLOOKUP(O78,Monitor!$A$1:$B$3,2,FALSE)</f>
        <v>Offentlig förvaltning</v>
      </c>
      <c r="Q78" s="46">
        <v>2</v>
      </c>
      <c r="R78" s="47">
        <f>VLOOKUP(Q78,Price!$A$1:$B$5,2,FALSE)</f>
        <v>4920</v>
      </c>
    </row>
    <row r="79" spans="1:18" x14ac:dyDescent="0.2">
      <c r="A79" s="9">
        <v>78</v>
      </c>
      <c r="B79" s="12">
        <v>10</v>
      </c>
      <c r="C79" s="32">
        <v>1</v>
      </c>
      <c r="D79" s="23" t="str">
        <f>VLOOKUP(C79,Source!$A$1:$B$5,2,FALSE)</f>
        <v>Frivillig donation</v>
      </c>
      <c r="E79" s="21">
        <v>0</v>
      </c>
      <c r="F79" s="23" t="str">
        <f>VLOOKUP(E79,Land!$A$1:$B$4,2,FALSE)</f>
        <v>Småskaliga privata ägare</v>
      </c>
      <c r="G79" s="21">
        <v>0</v>
      </c>
      <c r="H79" s="24" t="str">
        <f>VLOOKUP(G79,Monitor!$A$1:$B$3,2,FALSE)</f>
        <v>Privat, oberoende granskning</v>
      </c>
      <c r="I79" s="21">
        <v>1</v>
      </c>
      <c r="J79" s="36">
        <f>VLOOKUP(I79,Price!$A$1:$B$5,2,FALSE)</f>
        <v>2460</v>
      </c>
      <c r="K79" s="44">
        <v>0</v>
      </c>
      <c r="L79" s="45" t="str">
        <f>VLOOKUP(K79,Source!$A$1:$B$5,2,FALSE)</f>
        <v>Skattebetalning</v>
      </c>
      <c r="M79" s="46">
        <v>0</v>
      </c>
      <c r="N79" s="45" t="str">
        <f>VLOOKUP(M79,Land!$A$1:$B$4,2,FALSE)</f>
        <v>Småskaliga privata ägare</v>
      </c>
      <c r="O79" s="46">
        <v>0</v>
      </c>
      <c r="P79" s="45" t="str">
        <f>VLOOKUP(O79,Monitor!$A$1:$B$3,2,FALSE)</f>
        <v>Privat, oberoende granskning</v>
      </c>
      <c r="Q79" s="46">
        <v>1</v>
      </c>
      <c r="R79" s="47">
        <f>VLOOKUP(Q79,Price!$A$1:$B$5,2,FALSE)</f>
        <v>2460</v>
      </c>
    </row>
    <row r="80" spans="1:18" x14ac:dyDescent="0.2">
      <c r="A80" s="9">
        <v>79</v>
      </c>
      <c r="B80" s="12">
        <v>10</v>
      </c>
      <c r="C80" s="32">
        <v>0</v>
      </c>
      <c r="D80" s="23" t="str">
        <f>VLOOKUP(C80,Source!$A$1:$B$5,2,FALSE)</f>
        <v>Skattebetalning</v>
      </c>
      <c r="E80" s="21">
        <v>0</v>
      </c>
      <c r="F80" s="23" t="str">
        <f>VLOOKUP(E80,Land!$A$1:$B$4,2,FALSE)</f>
        <v>Småskaliga privata ägare</v>
      </c>
      <c r="G80" s="21">
        <v>1</v>
      </c>
      <c r="H80" s="24" t="str">
        <f>VLOOKUP(G80,Monitor!$A$1:$B$3,2,FALSE)</f>
        <v>Offentlig förvaltning</v>
      </c>
      <c r="I80" s="21">
        <v>2</v>
      </c>
      <c r="J80" s="36">
        <f>VLOOKUP(I80,Price!$A$1:$B$5,2,FALSE)</f>
        <v>4920</v>
      </c>
      <c r="K80" s="44">
        <v>1</v>
      </c>
      <c r="L80" s="45" t="str">
        <f>VLOOKUP(K80,Source!$A$1:$B$5,2,FALSE)</f>
        <v>Frivillig donation</v>
      </c>
      <c r="M80" s="46">
        <v>0</v>
      </c>
      <c r="N80" s="45" t="str">
        <f>VLOOKUP(M80,Land!$A$1:$B$4,2,FALSE)</f>
        <v>Småskaliga privata ägare</v>
      </c>
      <c r="O80" s="46">
        <v>1</v>
      </c>
      <c r="P80" s="45" t="str">
        <f>VLOOKUP(O80,Monitor!$A$1:$B$3,2,FALSE)</f>
        <v>Offentlig förvaltning</v>
      </c>
      <c r="Q80" s="46">
        <v>0</v>
      </c>
      <c r="R80" s="47">
        <f>VLOOKUP(Q80,Price!$A$1:$B$5,2,FALSE)</f>
        <v>492</v>
      </c>
    </row>
    <row r="81" spans="1:18" x14ac:dyDescent="0.2">
      <c r="A81" s="9">
        <v>80</v>
      </c>
      <c r="B81" s="13">
        <v>10</v>
      </c>
      <c r="C81" s="33">
        <v>2</v>
      </c>
      <c r="D81" s="26" t="str">
        <f>VLOOKUP(C81,Source!$A$1:$B$5,2,FALSE)</f>
        <v>Marknadscertifiering</v>
      </c>
      <c r="E81" s="25">
        <v>1</v>
      </c>
      <c r="F81" s="26" t="str">
        <f>VLOOKUP(E81,Land!$A$1:$B$4,2,FALSE)</f>
        <v>Industriella företag</v>
      </c>
      <c r="G81" s="25">
        <v>0</v>
      </c>
      <c r="H81" s="27" t="str">
        <f>VLOOKUP(G81,Monitor!$A$1:$B$3,2,FALSE)</f>
        <v>Privat, oberoende granskning</v>
      </c>
      <c r="I81" s="25">
        <v>0</v>
      </c>
      <c r="J81" s="37">
        <f>VLOOKUP(I81,Price!$A$1:$B$5,2,FALSE)</f>
        <v>492</v>
      </c>
      <c r="K81" s="48">
        <v>0</v>
      </c>
      <c r="L81" s="49" t="str">
        <f>VLOOKUP(K81,Source!$A$1:$B$5,2,FALSE)</f>
        <v>Skattebetalning</v>
      </c>
      <c r="M81" s="50">
        <v>1</v>
      </c>
      <c r="N81" s="49" t="str">
        <f>VLOOKUP(M81,Land!$A$1:$B$4,2,FALSE)</f>
        <v>Industriella företag</v>
      </c>
      <c r="O81" s="50">
        <v>0</v>
      </c>
      <c r="P81" s="49" t="str">
        <f>VLOOKUP(O81,Monitor!$A$1:$B$3,2,FALSE)</f>
        <v>Privat, oberoende granskning</v>
      </c>
      <c r="Q81" s="50">
        <v>1</v>
      </c>
      <c r="R81" s="51">
        <f>VLOOKUP(Q81,Price!$A$1:$B$5,2,FALSE)</f>
        <v>2460</v>
      </c>
    </row>
    <row r="82" spans="1:18" x14ac:dyDescent="0.2">
      <c r="A82" s="9">
        <v>81</v>
      </c>
      <c r="B82" s="14">
        <v>11</v>
      </c>
      <c r="C82" s="28">
        <v>1</v>
      </c>
      <c r="D82" s="29" t="str">
        <f>VLOOKUP(C82,Source!$A$1:$B$5,2,FALSE)</f>
        <v>Frivillig donation</v>
      </c>
      <c r="E82" s="30">
        <v>2</v>
      </c>
      <c r="F82" s="29" t="str">
        <f>VLOOKUP(E82,Land!$A$1:$B$4,2,FALSE)</f>
        <v>Offentlig mark</v>
      </c>
      <c r="G82" s="30">
        <v>1</v>
      </c>
      <c r="H82" s="31" t="str">
        <f>VLOOKUP(G82,Monitor!$A$1:$B$3,2,FALSE)</f>
        <v>Offentlig förvaltning</v>
      </c>
      <c r="I82" s="21">
        <v>3</v>
      </c>
      <c r="J82" s="38">
        <f>VLOOKUP(I82,Price!$A$1:$B$5,2,FALSE)</f>
        <v>7380</v>
      </c>
      <c r="K82" s="52">
        <v>0</v>
      </c>
      <c r="L82" s="53" t="str">
        <f>VLOOKUP(K82,Source!$A$1:$B$5,2,FALSE)</f>
        <v>Skattebetalning</v>
      </c>
      <c r="M82" s="54">
        <v>2</v>
      </c>
      <c r="N82" s="53" t="str">
        <f>VLOOKUP(M82,Land!$A$1:$B$4,2,FALSE)</f>
        <v>Offentlig mark</v>
      </c>
      <c r="O82" s="54">
        <v>1</v>
      </c>
      <c r="P82" s="53" t="str">
        <f>VLOOKUP(O82,Monitor!$A$1:$B$3,2,FALSE)</f>
        <v>Offentlig förvaltning</v>
      </c>
      <c r="Q82" s="54">
        <v>1</v>
      </c>
      <c r="R82" s="55">
        <f>VLOOKUP(Q82,Price!$A$1:$B$5,2,FALSE)</f>
        <v>2460</v>
      </c>
    </row>
    <row r="83" spans="1:18" x14ac:dyDescent="0.2">
      <c r="A83" s="9">
        <v>82</v>
      </c>
      <c r="B83" s="12">
        <v>11</v>
      </c>
      <c r="C83" s="32">
        <v>3</v>
      </c>
      <c r="D83" s="23" t="str">
        <f>VLOOKUP(C83,Source!$A$1:$B$5,2,FALSE)</f>
        <v>Obligatorisk kompensation</v>
      </c>
      <c r="E83" s="21">
        <v>0</v>
      </c>
      <c r="F83" s="23" t="str">
        <f>VLOOKUP(E83,Land!$A$1:$B$4,2,FALSE)</f>
        <v>Småskaliga privata ägare</v>
      </c>
      <c r="G83" s="21">
        <v>1</v>
      </c>
      <c r="H83" s="24" t="str">
        <f>VLOOKUP(G83,Monitor!$A$1:$B$3,2,FALSE)</f>
        <v>Offentlig förvaltning</v>
      </c>
      <c r="I83" s="21">
        <v>0</v>
      </c>
      <c r="J83" s="36">
        <f>VLOOKUP(I83,Price!$A$1:$B$5,2,FALSE)</f>
        <v>492</v>
      </c>
      <c r="K83" s="44">
        <v>0</v>
      </c>
      <c r="L83" s="45" t="str">
        <f>VLOOKUP(K83,Source!$A$1:$B$5,2,FALSE)</f>
        <v>Skattebetalning</v>
      </c>
      <c r="M83" s="46">
        <v>1</v>
      </c>
      <c r="N83" s="45" t="str">
        <f>VLOOKUP(M83,Land!$A$1:$B$4,2,FALSE)</f>
        <v>Industriella företag</v>
      </c>
      <c r="O83" s="46">
        <v>0</v>
      </c>
      <c r="P83" s="45" t="str">
        <f>VLOOKUP(O83,Monitor!$A$1:$B$3,2,FALSE)</f>
        <v>Privat, oberoende granskning</v>
      </c>
      <c r="Q83" s="46">
        <v>0</v>
      </c>
      <c r="R83" s="47">
        <f>VLOOKUP(Q83,Price!$A$1:$B$5,2,FALSE)</f>
        <v>492</v>
      </c>
    </row>
    <row r="84" spans="1:18" x14ac:dyDescent="0.2">
      <c r="A84" s="9">
        <v>83</v>
      </c>
      <c r="B84" s="12">
        <v>11</v>
      </c>
      <c r="C84" s="32">
        <v>1</v>
      </c>
      <c r="D84" s="23" t="str">
        <f>VLOOKUP(C84,Source!$A$1:$B$5,2,FALSE)</f>
        <v>Frivillig donation</v>
      </c>
      <c r="E84" s="21">
        <v>0</v>
      </c>
      <c r="F84" s="23" t="str">
        <f>VLOOKUP(E84,Land!$A$1:$B$4,2,FALSE)</f>
        <v>Småskaliga privata ägare</v>
      </c>
      <c r="G84" s="21">
        <v>0</v>
      </c>
      <c r="H84" s="24" t="str">
        <f>VLOOKUP(G84,Monitor!$A$1:$B$3,2,FALSE)</f>
        <v>Privat, oberoende granskning</v>
      </c>
      <c r="I84" s="21">
        <v>0</v>
      </c>
      <c r="J84" s="36">
        <f>VLOOKUP(I84,Price!$A$1:$B$5,2,FALSE)</f>
        <v>492</v>
      </c>
      <c r="K84" s="44">
        <v>0</v>
      </c>
      <c r="L84" s="45" t="str">
        <f>VLOOKUP(K84,Source!$A$1:$B$5,2,FALSE)</f>
        <v>Skattebetalning</v>
      </c>
      <c r="M84" s="46">
        <v>2</v>
      </c>
      <c r="N84" s="45" t="str">
        <f>VLOOKUP(M84,Land!$A$1:$B$4,2,FALSE)</f>
        <v>Offentlig mark</v>
      </c>
      <c r="O84" s="46">
        <v>1</v>
      </c>
      <c r="P84" s="45" t="str">
        <f>VLOOKUP(O84,Monitor!$A$1:$B$3,2,FALSE)</f>
        <v>Offentlig förvaltning</v>
      </c>
      <c r="Q84" s="46">
        <v>2</v>
      </c>
      <c r="R84" s="47">
        <f>VLOOKUP(Q84,Price!$A$1:$B$5,2,FALSE)</f>
        <v>4920</v>
      </c>
    </row>
    <row r="85" spans="1:18" x14ac:dyDescent="0.2">
      <c r="A85" s="9">
        <v>84</v>
      </c>
      <c r="B85" s="12">
        <v>11</v>
      </c>
      <c r="C85" s="32">
        <v>1</v>
      </c>
      <c r="D85" s="23" t="str">
        <f>VLOOKUP(C85,Source!$A$1:$B$5,2,FALSE)</f>
        <v>Frivillig donation</v>
      </c>
      <c r="E85" s="21">
        <v>0</v>
      </c>
      <c r="F85" s="23" t="str">
        <f>VLOOKUP(E85,Land!$A$1:$B$4,2,FALSE)</f>
        <v>Småskaliga privata ägare</v>
      </c>
      <c r="G85" s="21">
        <v>0</v>
      </c>
      <c r="H85" s="24" t="str">
        <f>VLOOKUP(G85,Monitor!$A$1:$B$3,2,FALSE)</f>
        <v>Privat, oberoende granskning</v>
      </c>
      <c r="I85" s="21">
        <v>1</v>
      </c>
      <c r="J85" s="36">
        <f>VLOOKUP(I85,Price!$A$1:$B$5,2,FALSE)</f>
        <v>2460</v>
      </c>
      <c r="K85" s="44">
        <v>2</v>
      </c>
      <c r="L85" s="45" t="str">
        <f>VLOOKUP(K85,Source!$A$1:$B$5,2,FALSE)</f>
        <v>Marknadscertifiering</v>
      </c>
      <c r="M85" s="46">
        <v>1</v>
      </c>
      <c r="N85" s="45" t="str">
        <f>VLOOKUP(M85,Land!$A$1:$B$4,2,FALSE)</f>
        <v>Industriella företag</v>
      </c>
      <c r="O85" s="46">
        <v>1</v>
      </c>
      <c r="P85" s="45" t="str">
        <f>VLOOKUP(O85,Monitor!$A$1:$B$3,2,FALSE)</f>
        <v>Offentlig förvaltning</v>
      </c>
      <c r="Q85" s="46">
        <v>3</v>
      </c>
      <c r="R85" s="47">
        <f>VLOOKUP(Q85,Price!$A$1:$B$5,2,FALSE)</f>
        <v>7380</v>
      </c>
    </row>
    <row r="86" spans="1:18" x14ac:dyDescent="0.2">
      <c r="A86" s="9">
        <v>85</v>
      </c>
      <c r="B86" s="12">
        <v>11</v>
      </c>
      <c r="C86" s="32">
        <v>0</v>
      </c>
      <c r="D86" s="23" t="str">
        <f>VLOOKUP(C86,Source!$A$1:$B$5,2,FALSE)</f>
        <v>Skattebetalning</v>
      </c>
      <c r="E86" s="21">
        <v>0</v>
      </c>
      <c r="F86" s="23" t="str">
        <f>VLOOKUP(E86,Land!$A$1:$B$4,2,FALSE)</f>
        <v>Småskaliga privata ägare</v>
      </c>
      <c r="G86" s="21">
        <v>1</v>
      </c>
      <c r="H86" s="24" t="str">
        <f>VLOOKUP(G86,Monitor!$A$1:$B$3,2,FALSE)</f>
        <v>Offentlig förvaltning</v>
      </c>
      <c r="I86" s="21">
        <v>2</v>
      </c>
      <c r="J86" s="36">
        <f>VLOOKUP(I86,Price!$A$1:$B$5,2,FALSE)</f>
        <v>4920</v>
      </c>
      <c r="K86" s="44">
        <v>0</v>
      </c>
      <c r="L86" s="45" t="str">
        <f>VLOOKUP(K86,Source!$A$1:$B$5,2,FALSE)</f>
        <v>Skattebetalning</v>
      </c>
      <c r="M86" s="46">
        <v>2</v>
      </c>
      <c r="N86" s="45" t="str">
        <f>VLOOKUP(M86,Land!$A$1:$B$4,2,FALSE)</f>
        <v>Offentlig mark</v>
      </c>
      <c r="O86" s="46">
        <v>1</v>
      </c>
      <c r="P86" s="45" t="str">
        <f>VLOOKUP(O86,Monitor!$A$1:$B$3,2,FALSE)</f>
        <v>Offentlig förvaltning</v>
      </c>
      <c r="Q86" s="46">
        <v>1</v>
      </c>
      <c r="R86" s="47">
        <f>VLOOKUP(Q86,Price!$A$1:$B$5,2,FALSE)</f>
        <v>2460</v>
      </c>
    </row>
    <row r="87" spans="1:18" x14ac:dyDescent="0.2">
      <c r="A87" s="9">
        <v>86</v>
      </c>
      <c r="B87" s="12">
        <v>11</v>
      </c>
      <c r="C87" s="32">
        <v>2</v>
      </c>
      <c r="D87" s="23" t="str">
        <f>VLOOKUP(C87,Source!$A$1:$B$5,2,FALSE)</f>
        <v>Marknadscertifiering</v>
      </c>
      <c r="E87" s="21">
        <v>2</v>
      </c>
      <c r="F87" s="23" t="str">
        <f>VLOOKUP(E87,Land!$A$1:$B$4,2,FALSE)</f>
        <v>Offentlig mark</v>
      </c>
      <c r="G87" s="21">
        <v>0</v>
      </c>
      <c r="H87" s="24" t="str">
        <f>VLOOKUP(G87,Monitor!$A$1:$B$3,2,FALSE)</f>
        <v>Privat, oberoende granskning</v>
      </c>
      <c r="I87" s="21">
        <v>3</v>
      </c>
      <c r="J87" s="36">
        <f>VLOOKUP(I87,Price!$A$1:$B$5,2,FALSE)</f>
        <v>7380</v>
      </c>
      <c r="K87" s="44">
        <v>2</v>
      </c>
      <c r="L87" s="45" t="str">
        <f>VLOOKUP(K87,Source!$A$1:$B$5,2,FALSE)</f>
        <v>Marknadscertifiering</v>
      </c>
      <c r="M87" s="46">
        <v>2</v>
      </c>
      <c r="N87" s="45" t="str">
        <f>VLOOKUP(M87,Land!$A$1:$B$4,2,FALSE)</f>
        <v>Offentlig mark</v>
      </c>
      <c r="O87" s="46">
        <v>0</v>
      </c>
      <c r="P87" s="45" t="str">
        <f>VLOOKUP(O87,Monitor!$A$1:$B$3,2,FALSE)</f>
        <v>Privat, oberoende granskning</v>
      </c>
      <c r="Q87" s="46">
        <v>0</v>
      </c>
      <c r="R87" s="47">
        <f>VLOOKUP(Q87,Price!$A$1:$B$5,2,FALSE)</f>
        <v>492</v>
      </c>
    </row>
    <row r="88" spans="1:18" x14ac:dyDescent="0.2">
      <c r="A88" s="9">
        <v>87</v>
      </c>
      <c r="B88" s="12">
        <v>11</v>
      </c>
      <c r="C88" s="32">
        <v>2</v>
      </c>
      <c r="D88" s="23" t="str">
        <f>VLOOKUP(C88,Source!$A$1:$B$5,2,FALSE)</f>
        <v>Marknadscertifiering</v>
      </c>
      <c r="E88" s="21">
        <v>2</v>
      </c>
      <c r="F88" s="23" t="str">
        <f>VLOOKUP(E88,Land!$A$1:$B$4,2,FALSE)</f>
        <v>Offentlig mark</v>
      </c>
      <c r="G88" s="21">
        <v>1</v>
      </c>
      <c r="H88" s="24" t="str">
        <f>VLOOKUP(G88,Monitor!$A$1:$B$3,2,FALSE)</f>
        <v>Offentlig förvaltning</v>
      </c>
      <c r="I88" s="21">
        <v>0</v>
      </c>
      <c r="J88" s="36">
        <f>VLOOKUP(I88,Price!$A$1:$B$5,2,FALSE)</f>
        <v>492</v>
      </c>
      <c r="K88" s="44">
        <v>3</v>
      </c>
      <c r="L88" s="45" t="str">
        <f>VLOOKUP(K88,Source!$A$1:$B$5,2,FALSE)</f>
        <v>Obligatorisk kompensation</v>
      </c>
      <c r="M88" s="46">
        <v>0</v>
      </c>
      <c r="N88" s="45" t="str">
        <f>VLOOKUP(M88,Land!$A$1:$B$4,2,FALSE)</f>
        <v>Småskaliga privata ägare</v>
      </c>
      <c r="O88" s="46">
        <v>1</v>
      </c>
      <c r="P88" s="45" t="str">
        <f>VLOOKUP(O88,Monitor!$A$1:$B$3,2,FALSE)</f>
        <v>Offentlig förvaltning</v>
      </c>
      <c r="Q88" s="46">
        <v>3</v>
      </c>
      <c r="R88" s="47">
        <f>VLOOKUP(Q88,Price!$A$1:$B$5,2,FALSE)</f>
        <v>7380</v>
      </c>
    </row>
    <row r="89" spans="1:18" x14ac:dyDescent="0.2">
      <c r="A89" s="9">
        <v>88</v>
      </c>
      <c r="B89" s="13">
        <v>11</v>
      </c>
      <c r="C89" s="33">
        <v>0</v>
      </c>
      <c r="D89" s="26" t="str">
        <f>VLOOKUP(C89,Source!$A$1:$B$5,2,FALSE)</f>
        <v>Skattebetalning</v>
      </c>
      <c r="E89" s="25">
        <v>0</v>
      </c>
      <c r="F89" s="26" t="str">
        <f>VLOOKUP(E89,Land!$A$1:$B$4,2,FALSE)</f>
        <v>Småskaliga privata ägare</v>
      </c>
      <c r="G89" s="25">
        <v>0</v>
      </c>
      <c r="H89" s="27" t="str">
        <f>VLOOKUP(G89,Monitor!$A$1:$B$3,2,FALSE)</f>
        <v>Privat, oberoende granskning</v>
      </c>
      <c r="I89" s="25">
        <v>1</v>
      </c>
      <c r="J89" s="37">
        <f>VLOOKUP(I89,Price!$A$1:$B$5,2,FALSE)</f>
        <v>2460</v>
      </c>
      <c r="K89" s="48">
        <v>0</v>
      </c>
      <c r="L89" s="49" t="str">
        <f>VLOOKUP(K89,Source!$A$1:$B$5,2,FALSE)</f>
        <v>Skattebetalning</v>
      </c>
      <c r="M89" s="50">
        <v>1</v>
      </c>
      <c r="N89" s="49" t="str">
        <f>VLOOKUP(M89,Land!$A$1:$B$4,2,FALSE)</f>
        <v>Industriella företag</v>
      </c>
      <c r="O89" s="50">
        <v>1</v>
      </c>
      <c r="P89" s="49" t="str">
        <f>VLOOKUP(O89,Monitor!$A$1:$B$3,2,FALSE)</f>
        <v>Offentlig förvaltning</v>
      </c>
      <c r="Q89" s="50">
        <v>2</v>
      </c>
      <c r="R89" s="51">
        <f>VLOOKUP(Q89,Price!$A$1:$B$5,2,FALSE)</f>
        <v>4920</v>
      </c>
    </row>
    <row r="90" spans="1:18" x14ac:dyDescent="0.2">
      <c r="A90" s="9">
        <v>89</v>
      </c>
      <c r="B90" s="14">
        <v>12</v>
      </c>
      <c r="C90" s="28">
        <v>3</v>
      </c>
      <c r="D90" s="29" t="str">
        <f>VLOOKUP(C90,Source!$A$1:$B$5,2,FALSE)</f>
        <v>Obligatorisk kompensation</v>
      </c>
      <c r="E90" s="30">
        <v>1</v>
      </c>
      <c r="F90" s="29" t="str">
        <f>VLOOKUP(E90,Land!$A$1:$B$4,2,FALSE)</f>
        <v>Industriella företag</v>
      </c>
      <c r="G90" s="30">
        <v>0</v>
      </c>
      <c r="H90" s="31" t="str">
        <f>VLOOKUP(G90,Monitor!$A$1:$B$3,2,FALSE)</f>
        <v>Privat, oberoende granskning</v>
      </c>
      <c r="I90" s="30">
        <v>0</v>
      </c>
      <c r="J90" s="38">
        <f>VLOOKUP(I90,Price!$A$1:$B$5,2,FALSE)</f>
        <v>492</v>
      </c>
      <c r="K90" s="54">
        <v>1</v>
      </c>
      <c r="L90" s="53" t="str">
        <f>VLOOKUP(K90,Source!$A$1:$B$5,2,FALSE)</f>
        <v>Frivillig donation</v>
      </c>
      <c r="M90" s="54">
        <v>2</v>
      </c>
      <c r="N90" s="53" t="str">
        <f>VLOOKUP(M90,Land!$A$1:$B$4,2,FALSE)</f>
        <v>Offentlig mark</v>
      </c>
      <c r="O90" s="54">
        <v>1</v>
      </c>
      <c r="P90" s="53" t="str">
        <f>VLOOKUP(O90,Monitor!$A$1:$B$3,2,FALSE)</f>
        <v>Offentlig förvaltning</v>
      </c>
      <c r="Q90" s="54">
        <v>1</v>
      </c>
      <c r="R90" s="55">
        <f>VLOOKUP(Q90,Price!$A$1:$B$5,2,FALSE)</f>
        <v>2460</v>
      </c>
    </row>
    <row r="91" spans="1:18" x14ac:dyDescent="0.2">
      <c r="A91" s="9">
        <v>90</v>
      </c>
      <c r="B91" s="12">
        <v>12</v>
      </c>
      <c r="C91" s="32">
        <v>3</v>
      </c>
      <c r="D91" s="23" t="str">
        <f>VLOOKUP(C91,Source!$A$1:$B$5,2,FALSE)</f>
        <v>Obligatorisk kompensation</v>
      </c>
      <c r="E91" s="21">
        <v>2</v>
      </c>
      <c r="F91" s="23" t="str">
        <f>VLOOKUP(E91,Land!$A$1:$B$4,2,FALSE)</f>
        <v>Offentlig mark</v>
      </c>
      <c r="G91" s="21">
        <v>0</v>
      </c>
      <c r="H91" s="24" t="str">
        <f>VLOOKUP(G91,Monitor!$A$1:$B$3,2,FALSE)</f>
        <v>Privat, oberoende granskning</v>
      </c>
      <c r="I91" s="21">
        <v>3</v>
      </c>
      <c r="J91" s="36">
        <f>VLOOKUP(I91,Price!$A$1:$B$5,2,FALSE)</f>
        <v>7380</v>
      </c>
      <c r="K91" s="46">
        <v>0</v>
      </c>
      <c r="L91" s="45" t="str">
        <f>VLOOKUP(K91,Source!$A$1:$B$5,2,FALSE)</f>
        <v>Skattebetalning</v>
      </c>
      <c r="M91" s="46">
        <v>2</v>
      </c>
      <c r="N91" s="45" t="str">
        <f>VLOOKUP(M91,Land!$A$1:$B$4,2,FALSE)</f>
        <v>Offentlig mark</v>
      </c>
      <c r="O91" s="46">
        <v>1</v>
      </c>
      <c r="P91" s="45" t="str">
        <f>VLOOKUP(O91,Monitor!$A$1:$B$3,2,FALSE)</f>
        <v>Offentlig förvaltning</v>
      </c>
      <c r="Q91" s="46">
        <v>2</v>
      </c>
      <c r="R91" s="47">
        <f>VLOOKUP(Q91,Price!$A$1:$B$5,2,FALSE)</f>
        <v>4920</v>
      </c>
    </row>
    <row r="92" spans="1:18" x14ac:dyDescent="0.2">
      <c r="A92" s="9">
        <v>91</v>
      </c>
      <c r="B92" s="12">
        <v>12</v>
      </c>
      <c r="C92" s="32">
        <v>0</v>
      </c>
      <c r="D92" s="23" t="str">
        <f>VLOOKUP(C92,Source!$A$1:$B$5,2,FALSE)</f>
        <v>Skattebetalning</v>
      </c>
      <c r="E92" s="21">
        <v>1</v>
      </c>
      <c r="F92" s="23" t="str">
        <f>VLOOKUP(E92,Land!$A$1:$B$4,2,FALSE)</f>
        <v>Industriella företag</v>
      </c>
      <c r="G92" s="21">
        <v>0</v>
      </c>
      <c r="H92" s="24" t="str">
        <f>VLOOKUP(G92,Monitor!$A$1:$B$3,2,FALSE)</f>
        <v>Privat, oberoende granskning</v>
      </c>
      <c r="I92" s="21">
        <v>3</v>
      </c>
      <c r="J92" s="36">
        <f>VLOOKUP(I92,Price!$A$1:$B$5,2,FALSE)</f>
        <v>7380</v>
      </c>
      <c r="K92" s="46">
        <v>2</v>
      </c>
      <c r="L92" s="45" t="str">
        <f>VLOOKUP(K92,Source!$A$1:$B$5,2,FALSE)</f>
        <v>Marknadscertifiering</v>
      </c>
      <c r="M92" s="46">
        <v>1</v>
      </c>
      <c r="N92" s="45" t="str">
        <f>VLOOKUP(M92,Land!$A$1:$B$4,2,FALSE)</f>
        <v>Industriella företag</v>
      </c>
      <c r="O92" s="46">
        <v>1</v>
      </c>
      <c r="P92" s="45" t="str">
        <f>VLOOKUP(O92,Monitor!$A$1:$B$3,2,FALSE)</f>
        <v>Offentlig förvaltning</v>
      </c>
      <c r="Q92" s="46">
        <v>3</v>
      </c>
      <c r="R92" s="47">
        <f>VLOOKUP(Q92,Price!$A$1:$B$5,2,FALSE)</f>
        <v>7380</v>
      </c>
    </row>
    <row r="93" spans="1:18" x14ac:dyDescent="0.2">
      <c r="A93" s="9">
        <v>92</v>
      </c>
      <c r="B93" s="12">
        <v>12</v>
      </c>
      <c r="C93" s="32">
        <v>0</v>
      </c>
      <c r="D93" s="23" t="str">
        <f>VLOOKUP(C93,Source!$A$1:$B$5,2,FALSE)</f>
        <v>Skattebetalning</v>
      </c>
      <c r="E93" s="21">
        <v>1</v>
      </c>
      <c r="F93" s="23" t="str">
        <f>VLOOKUP(E93,Land!$A$1:$B$4,2,FALSE)</f>
        <v>Industriella företag</v>
      </c>
      <c r="G93" s="21">
        <v>1</v>
      </c>
      <c r="H93" s="24" t="str">
        <f>VLOOKUP(G93,Monitor!$A$1:$B$3,2,FALSE)</f>
        <v>Offentlig förvaltning</v>
      </c>
      <c r="I93" s="21">
        <v>0</v>
      </c>
      <c r="J93" s="36">
        <f>VLOOKUP(I93,Price!$A$1:$B$5,2,FALSE)</f>
        <v>492</v>
      </c>
      <c r="K93" s="46">
        <v>0</v>
      </c>
      <c r="L93" s="45" t="str">
        <f>VLOOKUP(K93,Source!$A$1:$B$5,2,FALSE)</f>
        <v>Skattebetalning</v>
      </c>
      <c r="M93" s="46">
        <v>0</v>
      </c>
      <c r="N93" s="45" t="str">
        <f>VLOOKUP(M93,Land!$A$1:$B$4,2,FALSE)</f>
        <v>Småskaliga privata ägare</v>
      </c>
      <c r="O93" s="46">
        <v>0</v>
      </c>
      <c r="P93" s="45" t="str">
        <f>VLOOKUP(O93,Monitor!$A$1:$B$3,2,FALSE)</f>
        <v>Privat, oberoende granskning</v>
      </c>
      <c r="Q93" s="46">
        <v>3</v>
      </c>
      <c r="R93" s="47">
        <f>VLOOKUP(Q93,Price!$A$1:$B$5,2,FALSE)</f>
        <v>7380</v>
      </c>
    </row>
    <row r="94" spans="1:18" x14ac:dyDescent="0.2">
      <c r="A94" s="9">
        <v>93</v>
      </c>
      <c r="B94" s="12">
        <v>12</v>
      </c>
      <c r="C94" s="32">
        <v>2</v>
      </c>
      <c r="D94" s="23" t="str">
        <f>VLOOKUP(C94,Source!$A$1:$B$5,2,FALSE)</f>
        <v>Marknadscertifiering</v>
      </c>
      <c r="E94" s="21">
        <v>1</v>
      </c>
      <c r="F94" s="23" t="str">
        <f>VLOOKUP(E94,Land!$A$1:$B$4,2,FALSE)</f>
        <v>Industriella företag</v>
      </c>
      <c r="G94" s="21">
        <v>1</v>
      </c>
      <c r="H94" s="24" t="str">
        <f>VLOOKUP(G94,Monitor!$A$1:$B$3,2,FALSE)</f>
        <v>Offentlig förvaltning</v>
      </c>
      <c r="I94" s="21">
        <v>1</v>
      </c>
      <c r="J94" s="36">
        <f>VLOOKUP(I94,Price!$A$1:$B$5,2,FALSE)</f>
        <v>2460</v>
      </c>
      <c r="K94" s="46">
        <v>0</v>
      </c>
      <c r="L94" s="45" t="str">
        <f>VLOOKUP(K94,Source!$A$1:$B$5,2,FALSE)</f>
        <v>Skattebetalning</v>
      </c>
      <c r="M94" s="46">
        <v>0</v>
      </c>
      <c r="N94" s="45" t="str">
        <f>VLOOKUP(M94,Land!$A$1:$B$4,2,FALSE)</f>
        <v>Småskaliga privata ägare</v>
      </c>
      <c r="O94" s="46">
        <v>0</v>
      </c>
      <c r="P94" s="45" t="str">
        <f>VLOOKUP(O94,Monitor!$A$1:$B$3,2,FALSE)</f>
        <v>Privat, oberoende granskning</v>
      </c>
      <c r="Q94" s="46">
        <v>3</v>
      </c>
      <c r="R94" s="47">
        <f>VLOOKUP(Q94,Price!$A$1:$B$5,2,FALSE)</f>
        <v>7380</v>
      </c>
    </row>
    <row r="95" spans="1:18" x14ac:dyDescent="0.2">
      <c r="A95" s="9">
        <v>94</v>
      </c>
      <c r="B95" s="12">
        <v>12</v>
      </c>
      <c r="C95" s="32">
        <v>2</v>
      </c>
      <c r="D95" s="23" t="str">
        <f>VLOOKUP(C95,Source!$A$1:$B$5,2,FALSE)</f>
        <v>Marknadscertifiering</v>
      </c>
      <c r="E95" s="21">
        <v>1</v>
      </c>
      <c r="F95" s="23" t="str">
        <f>VLOOKUP(E95,Land!$A$1:$B$4,2,FALSE)</f>
        <v>Industriella företag</v>
      </c>
      <c r="G95" s="21">
        <v>0</v>
      </c>
      <c r="H95" s="24" t="str">
        <f>VLOOKUP(G95,Monitor!$A$1:$B$3,2,FALSE)</f>
        <v>Privat, oberoende granskning</v>
      </c>
      <c r="I95" s="21">
        <v>3</v>
      </c>
      <c r="J95" s="36">
        <f>VLOOKUP(I95,Price!$A$1:$B$5,2,FALSE)</f>
        <v>7380</v>
      </c>
      <c r="K95" s="46">
        <v>2</v>
      </c>
      <c r="L95" s="45" t="str">
        <f>VLOOKUP(K95,Source!$A$1:$B$5,2,FALSE)</f>
        <v>Marknadscertifiering</v>
      </c>
      <c r="M95" s="46">
        <v>1</v>
      </c>
      <c r="N95" s="45" t="str">
        <f>VLOOKUP(M95,Land!$A$1:$B$4,2,FALSE)</f>
        <v>Industriella företag</v>
      </c>
      <c r="O95" s="46">
        <v>0</v>
      </c>
      <c r="P95" s="45" t="str">
        <f>VLOOKUP(O95,Monitor!$A$1:$B$3,2,FALSE)</f>
        <v>Privat, oberoende granskning</v>
      </c>
      <c r="Q95" s="46">
        <v>2</v>
      </c>
      <c r="R95" s="47">
        <f>VLOOKUP(Q95,Price!$A$1:$B$5,2,FALSE)</f>
        <v>4920</v>
      </c>
    </row>
    <row r="96" spans="1:18" x14ac:dyDescent="0.2">
      <c r="A96" s="9">
        <v>95</v>
      </c>
      <c r="B96" s="12">
        <v>12</v>
      </c>
      <c r="C96" s="32">
        <v>3</v>
      </c>
      <c r="D96" s="23" t="str">
        <f>VLOOKUP(C96,Source!$A$1:$B$5,2,FALSE)</f>
        <v>Obligatorisk kompensation</v>
      </c>
      <c r="E96" s="21">
        <v>2</v>
      </c>
      <c r="F96" s="23" t="str">
        <f>VLOOKUP(E96,Land!$A$1:$B$4,2,FALSE)</f>
        <v>Offentlig mark</v>
      </c>
      <c r="G96" s="21">
        <v>0</v>
      </c>
      <c r="H96" s="24" t="str">
        <f>VLOOKUP(G96,Monitor!$A$1:$B$3,2,FALSE)</f>
        <v>Privat, oberoende granskning</v>
      </c>
      <c r="I96" s="21">
        <v>0</v>
      </c>
      <c r="J96" s="36">
        <f>VLOOKUP(I96,Price!$A$1:$B$5,2,FALSE)</f>
        <v>492</v>
      </c>
      <c r="K96" s="46">
        <v>3</v>
      </c>
      <c r="L96" s="45" t="str">
        <f>VLOOKUP(K96,Source!$A$1:$B$5,2,FALSE)</f>
        <v>Obligatorisk kompensation</v>
      </c>
      <c r="M96" s="46">
        <v>2</v>
      </c>
      <c r="N96" s="45" t="str">
        <f>VLOOKUP(M96,Land!$A$1:$B$4,2,FALSE)</f>
        <v>Offentlig mark</v>
      </c>
      <c r="O96" s="46">
        <v>1</v>
      </c>
      <c r="P96" s="45" t="str">
        <f>VLOOKUP(O96,Monitor!$A$1:$B$3,2,FALSE)</f>
        <v>Offentlig förvaltning</v>
      </c>
      <c r="Q96" s="46">
        <v>1</v>
      </c>
      <c r="R96" s="47">
        <f>VLOOKUP(Q96,Price!$A$1:$B$5,2,FALSE)</f>
        <v>2460</v>
      </c>
    </row>
    <row r="97" spans="1:18" ht="17" thickBot="1" x14ac:dyDescent="0.25">
      <c r="A97" s="15">
        <v>96</v>
      </c>
      <c r="B97" s="16">
        <v>12</v>
      </c>
      <c r="C97" s="33">
        <v>1</v>
      </c>
      <c r="D97" s="26" t="str">
        <f>VLOOKUP(C97,Source!$A$1:$B$5,2,FALSE)</f>
        <v>Frivillig donation</v>
      </c>
      <c r="E97" s="25">
        <v>1</v>
      </c>
      <c r="F97" s="26" t="str">
        <f>VLOOKUP(E97,Land!$A$1:$B$4,2,FALSE)</f>
        <v>Industriella företag</v>
      </c>
      <c r="G97" s="25">
        <v>1</v>
      </c>
      <c r="H97" s="27" t="str">
        <f>VLOOKUP(G97,Monitor!$A$1:$B$3,2,FALSE)</f>
        <v>Offentlig förvaltning</v>
      </c>
      <c r="I97" s="25">
        <v>3</v>
      </c>
      <c r="J97" s="37">
        <f>VLOOKUP(I97,Price!$A$1:$B$5,2,FALSE)</f>
        <v>7380</v>
      </c>
      <c r="K97" s="50">
        <v>3</v>
      </c>
      <c r="L97" s="49" t="str">
        <f>VLOOKUP(K97,Source!$A$1:$B$5,2,FALSE)</f>
        <v>Obligatorisk kompensation</v>
      </c>
      <c r="M97" s="50">
        <v>0</v>
      </c>
      <c r="N97" s="49" t="str">
        <f>VLOOKUP(M97,Land!$A$1:$B$4,2,FALSE)</f>
        <v>Småskaliga privata ägare</v>
      </c>
      <c r="O97" s="50">
        <v>0</v>
      </c>
      <c r="P97" s="49" t="str">
        <f>VLOOKUP(O97,Monitor!$A$1:$B$3,2,FALSE)</f>
        <v>Privat, oberoende granskning</v>
      </c>
      <c r="Q97" s="50">
        <v>2</v>
      </c>
      <c r="R97" s="51">
        <f>VLOOKUP(Q97,Price!$A$1:$B$5,2,FALSE)</f>
        <v>4920</v>
      </c>
    </row>
  </sheetData>
  <autoFilter ref="A1:R1" xr:uid="{00000000-0001-0000-0000-000000000000}"/>
  <pageMargins left="0.7" right="0.7" top="0.75" bottom="0.75" header="0.3" footer="0.3"/>
  <ignoredErrors>
    <ignoredError sqref="Q1 O1 K1 G1 A1:C1 E1 I1 M1 A4:B97 A2:B2 A3: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6" sqref="B6"/>
    </sheetView>
  </sheetViews>
  <sheetFormatPr baseColWidth="10" defaultRowHeight="16" x14ac:dyDescent="0.2"/>
  <sheetData>
    <row r="1" spans="1:2" x14ac:dyDescent="0.2">
      <c r="A1" s="1" t="s">
        <v>10</v>
      </c>
      <c r="B1" s="1" t="s">
        <v>11</v>
      </c>
    </row>
    <row r="2" spans="1:2" x14ac:dyDescent="0.2">
      <c r="A2" s="1">
        <v>0</v>
      </c>
      <c r="B2" s="56" t="s">
        <v>13</v>
      </c>
    </row>
    <row r="3" spans="1:2" x14ac:dyDescent="0.2">
      <c r="A3">
        <v>1</v>
      </c>
      <c r="B3" s="56" t="s">
        <v>14</v>
      </c>
    </row>
    <row r="4" spans="1:2" x14ac:dyDescent="0.2">
      <c r="A4">
        <v>2</v>
      </c>
      <c r="B4" s="56" t="s">
        <v>15</v>
      </c>
    </row>
    <row r="5" spans="1:2" x14ac:dyDescent="0.2">
      <c r="A5">
        <v>3</v>
      </c>
      <c r="B5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21F9-FFD0-C94A-BFA3-083A10219E23}">
  <dimension ref="A1:B4"/>
  <sheetViews>
    <sheetView workbookViewId="0">
      <selection activeCell="B3" sqref="B3"/>
    </sheetView>
  </sheetViews>
  <sheetFormatPr baseColWidth="10" defaultRowHeight="16" x14ac:dyDescent="0.2"/>
  <sheetData>
    <row r="1" spans="1:2" x14ac:dyDescent="0.2">
      <c r="A1" s="1" t="s">
        <v>10</v>
      </c>
      <c r="B1" s="1" t="s">
        <v>11</v>
      </c>
    </row>
    <row r="2" spans="1:2" x14ac:dyDescent="0.2">
      <c r="A2" s="1">
        <v>0</v>
      </c>
      <c r="B2" s="1" t="s">
        <v>19</v>
      </c>
    </row>
    <row r="3" spans="1:2" x14ac:dyDescent="0.2">
      <c r="A3">
        <v>1</v>
      </c>
      <c r="B3" s="1" t="s">
        <v>18</v>
      </c>
    </row>
    <row r="4" spans="1:2" x14ac:dyDescent="0.2">
      <c r="A4">
        <v>2</v>
      </c>
      <c r="B4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4D44-431A-D64A-987D-E66F76D2B875}">
  <dimension ref="A1:B3"/>
  <sheetViews>
    <sheetView workbookViewId="0">
      <selection activeCell="B3" sqref="B3"/>
    </sheetView>
  </sheetViews>
  <sheetFormatPr baseColWidth="10" defaultRowHeight="16" x14ac:dyDescent="0.2"/>
  <sheetData>
    <row r="1" spans="1:2" x14ac:dyDescent="0.2">
      <c r="A1" s="1" t="s">
        <v>10</v>
      </c>
      <c r="B1" s="1" t="s">
        <v>11</v>
      </c>
    </row>
    <row r="2" spans="1:2" x14ac:dyDescent="0.2">
      <c r="A2" s="1">
        <v>0</v>
      </c>
      <c r="B2" s="1" t="s">
        <v>21</v>
      </c>
    </row>
    <row r="3" spans="1:2" x14ac:dyDescent="0.2">
      <c r="A3">
        <v>1</v>
      </c>
      <c r="B3" s="56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392F-5732-1449-918E-EB92C8D411A7}">
  <dimension ref="A1:B5"/>
  <sheetViews>
    <sheetView workbookViewId="0">
      <selection activeCell="B6" sqref="B6"/>
    </sheetView>
  </sheetViews>
  <sheetFormatPr baseColWidth="10" defaultRowHeight="16" x14ac:dyDescent="0.2"/>
  <sheetData>
    <row r="1" spans="1:2" x14ac:dyDescent="0.2">
      <c r="A1" s="1" t="s">
        <v>10</v>
      </c>
      <c r="B1" s="1" t="s">
        <v>11</v>
      </c>
    </row>
    <row r="2" spans="1:2" x14ac:dyDescent="0.2">
      <c r="A2" s="1">
        <v>0</v>
      </c>
      <c r="B2">
        <v>492</v>
      </c>
    </row>
    <row r="3" spans="1:2" x14ac:dyDescent="0.2">
      <c r="A3">
        <v>1</v>
      </c>
      <c r="B3">
        <v>2460</v>
      </c>
    </row>
    <row r="4" spans="1:2" x14ac:dyDescent="0.2">
      <c r="A4">
        <v>2</v>
      </c>
      <c r="B4">
        <v>4920</v>
      </c>
    </row>
    <row r="5" spans="1:2" x14ac:dyDescent="0.2">
      <c r="A5">
        <v>3</v>
      </c>
      <c r="B5">
        <v>7380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Design | Choice Tasks</vt:lpstr>
      <vt:lpstr>Source</vt:lpstr>
      <vt:lpstr>Land</vt:lpstr>
      <vt:lpstr>Monitor</vt:lpstr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Jens Christiansen</cp:lastModifiedBy>
  <dcterms:created xsi:type="dcterms:W3CDTF">2026-01-20T08:17:34Z</dcterms:created>
  <dcterms:modified xsi:type="dcterms:W3CDTF">2026-01-20T08:19:47Z</dcterms:modified>
</cp:coreProperties>
</file>